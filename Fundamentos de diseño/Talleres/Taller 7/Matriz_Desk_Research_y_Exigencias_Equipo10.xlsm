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ceso y síntesis" sheetId="1" r:id="rId4"/>
    <sheet state="visible" name="Matriz Desk Research" sheetId="2" r:id="rId5"/>
    <sheet state="visible" name="Lista de exigencias" sheetId="3" r:id="rId6"/>
  </sheets>
  <definedNames/>
  <calcPr/>
  <extLst>
    <ext uri="GoogleSheetsCustomDataVersion2">
      <go:sheetsCustomData xmlns:go="http://customooxmlschemas.google.com/" r:id="rId7" roundtripDataChecksum="pUBjwps3+VymCh5YiOudpCYeArg8t8OMXulQZN/wfa8="/>
    </ext>
  </extLst>
</workbook>
</file>

<file path=xl/sharedStrings.xml><?xml version="1.0" encoding="utf-8"?>
<sst xmlns="http://schemas.openxmlformats.org/spreadsheetml/2006/main" count="482" uniqueCount="309">
  <si>
    <t>TALLER 6 Y AVANCE PARA TALLER 7</t>
  </si>
  <si>
    <t>ID</t>
  </si>
  <si>
    <t xml:space="preserve">Equipo 10 </t>
  </si>
  <si>
    <t>Fecha</t>
  </si>
  <si>
    <t>Tipo</t>
  </si>
  <si>
    <t>Característica</t>
  </si>
  <si>
    <t>Descripción revisada</t>
  </si>
  <si>
    <t>Comprobación prevista</t>
  </si>
  <si>
    <t>Responsable</t>
  </si>
  <si>
    <t>Fuente</t>
  </si>
  <si>
    <t>Estado</t>
  </si>
  <si>
    <t>Autor / institución</t>
  </si>
  <si>
    <t>Año</t>
  </si>
  <si>
    <t>Fuente de alcance</t>
  </si>
  <si>
    <t>LE01</t>
  </si>
  <si>
    <t>Referencia</t>
  </si>
  <si>
    <t>Tecnología o evidencia</t>
  </si>
  <si>
    <t>Dato útil</t>
  </si>
  <si>
    <t>Presentación: Equipo10 Expo Problematica.pptx</t>
  </si>
  <si>
    <t>Exigencia derivada</t>
  </si>
  <si>
    <t>10/09/2026</t>
  </si>
  <si>
    <t>Restricción o límite</t>
  </si>
  <si>
    <t>Función principal</t>
  </si>
  <si>
    <t>E</t>
  </si>
  <si>
    <t>Aplicación al proyecto</t>
  </si>
  <si>
    <t>Pert.</t>
  </si>
  <si>
    <t>Indicadores</t>
  </si>
  <si>
    <t>Conf.</t>
  </si>
  <si>
    <t>Informar cantidad, energía, proteínas, carbohidratos y grasas de una porción real.</t>
  </si>
  <si>
    <t>Actual.</t>
  </si>
  <si>
    <t>Registrar una porción de prueba y verificar las cinco salidas, unidades y fuente.</t>
  </si>
  <si>
    <t>MACP</t>
  </si>
  <si>
    <t>Evid.</t>
  </si>
  <si>
    <t>Taller 04; S04</t>
  </si>
  <si>
    <t>Fuentes registradas</t>
  </si>
  <si>
    <t>Vigente</t>
  </si>
  <si>
    <t>Aplic.</t>
  </si>
  <si>
    <t>Exigencias (E)</t>
  </si>
  <si>
    <t>Deseos (D)</t>
  </si>
  <si>
    <t>LE02</t>
  </si>
  <si>
    <t>Conteo</t>
  </si>
  <si>
    <t>D</t>
  </si>
  <si>
    <t>Geometría</t>
  </si>
  <si>
    <t>Si existe un componente físico, su dimensión mayor será &lt;= 30 cm.</t>
  </si>
  <si>
    <t>S01</t>
  </si>
  <si>
    <t>Medir el prototipo terminado con cinta o calibrador.</t>
  </si>
  <si>
    <t>RJCV</t>
  </si>
  <si>
    <t>Taller 04</t>
  </si>
  <si>
    <t>Artículo de revisión</t>
  </si>
  <si>
    <t>Condicional al concepto</t>
  </si>
  <si>
    <t>A systematic review examining contributors to misestimation of food and beverage intake</t>
  </si>
  <si>
    <t>LE03</t>
  </si>
  <si>
    <t>Whitton et al.</t>
  </si>
  <si>
    <t>2022</t>
  </si>
  <si>
    <t>Si existe un componente físico, su masa total será &lt;= 1,5 kg.</t>
  </si>
  <si>
    <t>Pesar el conjunto terminado en una balanza de referencia.</t>
  </si>
  <si>
    <t>LE04</t>
  </si>
  <si>
    <r>
      <rPr>
        <rFont val="Arial"/>
        <color rgb="FF1155CC"/>
        <sz val="10.0"/>
        <u/>
      </rPr>
      <t>https://pmc.ncbi.nlm.nih.gov/articles/PMC9776649/</t>
    </r>
    <r>
      <rPr>
        <rFont val="Arial"/>
        <color rgb="FF242826"/>
        <sz val="10.0"/>
      </rPr>
      <t xml:space="preserve"> </t>
    </r>
  </si>
  <si>
    <t>Materia</t>
  </si>
  <si>
    <t>Registrar porciones sólidas y semisólidas.</t>
  </si>
  <si>
    <t>Completar casos con alimentos de ambas categorías.</t>
  </si>
  <si>
    <t>LSTG</t>
  </si>
  <si>
    <t>LE05</t>
  </si>
  <si>
    <t>Incluir bebidas y preparaciones mixtas.</t>
  </si>
  <si>
    <t>Completar un caso de bebida y uno de preparación mixta.</t>
  </si>
  <si>
    <t>Deseable</t>
  </si>
  <si>
    <t>LE06</t>
  </si>
  <si>
    <t>Energía</t>
  </si>
  <si>
    <t>Si existe módulo propio, usar alimentación USB de 5 V o autonomía &gt;= 4 h.</t>
  </si>
  <si>
    <t>Medir tensión de entrada y registrar duración de una carga.</t>
  </si>
  <si>
    <t>LE07</t>
  </si>
  <si>
    <t>Señales - entrada</t>
  </si>
  <si>
    <t>Aceptar la identidad del alimento y la cantidad de la porción.</t>
  </si>
  <si>
    <t>Probar un registro válido y casos con datos incompletos.</t>
  </si>
  <si>
    <t>Taller 04; S08-S11</t>
  </si>
  <si>
    <t>LE08</t>
  </si>
  <si>
    <t>Aceptar fotografía, voz o texto como rutas alternativas de registro.</t>
  </si>
  <si>
    <t>Completar al menos dos rutas y corregir el resultado.</t>
  </si>
  <si>
    <t>Taller 04; S11</t>
  </si>
  <si>
    <t>LE09</t>
  </si>
  <si>
    <t>Señales - salida</t>
  </si>
  <si>
    <t>Mostrar la cantidad en g y la energía en kcal.</t>
  </si>
  <si>
    <t>Inspeccionar unidades y valores de un caso conocido.</t>
  </si>
  <si>
    <t>LE10</t>
  </si>
  <si>
    <t>Mostrar proteínas, carbohidratos y grasas en g, junto con la fuente nutricional.</t>
  </si>
  <si>
    <t>Comparar un resultado con la entrada de la base utilizada.</t>
  </si>
  <si>
    <t>LE11</t>
  </si>
  <si>
    <t>Paso 1 | Problema técnico</t>
  </si>
  <si>
    <t>Control</t>
  </si>
  <si>
    <t>Permitir corregir alimento y cantidad antes de confirmar.</t>
  </si>
  <si>
    <t>Modificar ambos datos y comprobar la actualización del cálculo.</t>
  </si>
  <si>
    <t>Transformar alimento y cantidad de una porción real en información comprensible de gramos, energía y macronutrientes, con registro breve, corregible y trazable.</t>
  </si>
  <si>
    <t>Taller 04; S03</t>
  </si>
  <si>
    <t>LE12</t>
  </si>
  <si>
    <t>Electrónica (hardware)</t>
  </si>
  <si>
    <t>Usar cámara o sensor de masa disponible solo si el principio de captura seleccionado lo requiere.</t>
  </si>
  <si>
    <t>Revisar disponibilidad, interfaz y ficha técnica del componente elegido.</t>
  </si>
  <si>
    <t>Paso 2 | Foco de búsqueda</t>
  </si>
  <si>
    <t>Taller 04; S08-S10</t>
  </si>
  <si>
    <t>1) cantidad; 2) identidad; 3) datos nutricionales peruanos; 4) interacción; 5) comunicación prototipo-aplicativo; 6) tecnologías existentes y validación.</t>
  </si>
  <si>
    <t>LE13</t>
  </si>
  <si>
    <t>Errores en autorreporte de ingesta</t>
  </si>
  <si>
    <t>Software</t>
  </si>
  <si>
    <t>Escalar nutrientes según la cantidad confirmada, con error de cálculo &lt;= 1 %.</t>
  </si>
  <si>
    <t>29 estudios; 2 964 participantes; 15 países. Omisiones y errores de porción fueron contribuyentes frecuentes.</t>
  </si>
  <si>
    <t>Comparar resultados con un recálculo independiente.</t>
  </si>
  <si>
    <t>Validar cantidad y separar medición de estimación.</t>
  </si>
  <si>
    <t>Meta por validar</t>
  </si>
  <si>
    <t>Paso 3 | Estado de la tecnología</t>
  </si>
  <si>
    <t>Estudia instrumentos de autorreporte; no valida este prototipo.</t>
  </si>
  <si>
    <t>LE14</t>
  </si>
  <si>
    <t>Doce fuentes: evidencia científica, base oficial, tesis, patentes y productos. Los resultados ajenos no se presentan como desempeño del prototipo.</t>
  </si>
  <si>
    <t>Determinar cantidad</t>
  </si>
  <si>
    <t>Justifica una referencia objetiva y avisos de incertidumbre.</t>
  </si>
  <si>
    <t>Guardar historial por fecha y comida después de la confirmación.</t>
  </si>
  <si>
    <t>Guardar y recuperar diez registros.</t>
  </si>
  <si>
    <t>A</t>
  </si>
  <si>
    <t>Taller 04; S09</t>
  </si>
  <si>
    <t>LE15</t>
  </si>
  <si>
    <t>Comunicaciones</t>
  </si>
  <si>
    <t>Registrar sin internet y sincronizar al recuperar conexión.</t>
  </si>
  <si>
    <t>Paso 4 | Matriz Desk Research</t>
  </si>
  <si>
    <t>Desactivar la red, registrar y verificar sincronización posterior.</t>
  </si>
  <si>
    <t>S02</t>
  </si>
  <si>
    <t>Portion size estimation in dietary assessment: a systematic review</t>
  </si>
  <si>
    <t>LE16</t>
  </si>
  <si>
    <t>Cada fila vincula fuente, tecnología o evidencia, exigencia, limitación, función y aplicación. A = alta; M = media.</t>
  </si>
  <si>
    <t>Amoutzopoulos et al.</t>
  </si>
  <si>
    <t>2020</t>
  </si>
  <si>
    <t>Seguridad informativa</t>
  </si>
  <si>
    <t>Distinguir valores medidos, estimados y calculados; no emitir diagnósticos.</t>
  </si>
  <si>
    <t>Revisar etiquetas, avisos y todos los estados de resultado.</t>
  </si>
  <si>
    <r>
      <rPr>
        <rFont val="Arial"/>
        <color rgb="FF1155CC"/>
        <sz val="10.0"/>
        <u/>
      </rPr>
      <t>https://pubmed.ncbi.nlm.nih.gov/31999347/</t>
    </r>
    <r>
      <rPr>
        <rFont val="Arial"/>
        <color rgb="FF242826"/>
        <sz val="10.0"/>
      </rPr>
      <t xml:space="preserve"> </t>
    </r>
  </si>
  <si>
    <t>Taller 04; S01-S03</t>
  </si>
  <si>
    <t>LE17</t>
  </si>
  <si>
    <t>Paso 5 | Lista de exigencias</t>
  </si>
  <si>
    <t>Ergonomía</t>
  </si>
  <si>
    <t>Se conservan las 24 entradas del Taller 04 y se agrega la conexión obligatoria prototipo-aplicativo como LE25. Los umbrales siguen pendientes de ensayo.</t>
  </si>
  <si>
    <t>Usar interfaz en español y completar un registro en &lt;= 60 s y &lt;= 5 acciones.</t>
  </si>
  <si>
    <t>Cronometrar tareas y contar acciones con usuarios del público inicial.</t>
  </si>
  <si>
    <t>JM</t>
  </si>
  <si>
    <t>Taller 04; S05,S12</t>
  </si>
  <si>
    <t>LE18</t>
  </si>
  <si>
    <t>Paso 6 | Funciones principales</t>
  </si>
  <si>
    <t>Fabricación</t>
  </si>
  <si>
    <t>Si existe hardware propio, usar componentes disponibles localmente para el prototipo.</t>
  </si>
  <si>
    <t>Energizar; conectar prototipo y aplicativo; capturar y transmitir; determinar cantidad y origen; identificar y corregir; consultar; calcular; informar y guardar.</t>
  </si>
  <si>
    <t>Adjuntar lista de proveedores y plazos de entrega.</t>
  </si>
  <si>
    <t>LE19</t>
  </si>
  <si>
    <t>Toda superficie en contacto directo con alimentos será apta para ese uso y lavable.</t>
  </si>
  <si>
    <t>Paso 7 | Oportunidad</t>
  </si>
  <si>
    <t>Revisar ficha del material e inspeccionar el procedimiento de limpieza.</t>
  </si>
  <si>
    <t>Taller 04; S10</t>
  </si>
  <si>
    <t>¿Cómo facilitar que las personas que desean iniciar o mantener una alimentación controlada reconozcan de manera práctica las cantidades y composición nutricional de los alimentos que consumen?</t>
  </si>
  <si>
    <t>Condicional al contacto</t>
  </si>
  <si>
    <t>LE20</t>
  </si>
  <si>
    <t>Control de calidad</t>
  </si>
  <si>
    <t>Validar &gt;= 30 porciones con error porcentual medio de cantidad &lt;= 20 %.</t>
  </si>
  <si>
    <t>Comparar con cantidades de referencia y documentar la fórmula antes del ensayo.</t>
  </si>
  <si>
    <t>Conclusión</t>
  </si>
  <si>
    <t>Taller 04; S01,S02</t>
  </si>
  <si>
    <t>El diseño debe separar alimento, cantidad, referencia y cálculo; mostrar qué fue medido o estimado; y conservar una corrección antes de confirmar.</t>
  </si>
  <si>
    <t>LE21</t>
  </si>
  <si>
    <t>Uso</t>
  </si>
  <si>
    <t>Registrar porciones domésticas de 3 a 5000 g e indicar si la cantidad fue medida o estimada.</t>
  </si>
  <si>
    <t>Ensayar límites compatibles con la ruta elegida y verificar la etiqueta de origen.</t>
  </si>
  <si>
    <t>Ayudas para estimar porciones</t>
  </si>
  <si>
    <t>Decisión no asumida</t>
  </si>
  <si>
    <t>LE22</t>
  </si>
  <si>
    <t>542 elementos identificados; 21 estudios los validaron contra cantidades reales. Las ayudas con imágenes fueron más exactas en los estudios comparativos.</t>
  </si>
  <si>
    <t>El principio de captura permanece abierto entre foto, texto, voz o sensor. El medio de conexión con el aplicativo también queda por definir.</t>
  </si>
  <si>
    <t>Exigir validación local de cualquier ayuda de estimación.</t>
  </si>
  <si>
    <t>Mantenimiento</t>
  </si>
  <si>
    <t>Pocos estudios de validación fueron de alta calidad.</t>
  </si>
  <si>
    <t>Actualizar la base nutricional conservando fuente y edición.</t>
  </si>
  <si>
    <t>Estimar cantidad</t>
  </si>
  <si>
    <t>Cambiar una edición de prueba y auditar registros antiguos.</t>
  </si>
  <si>
    <t>COKJ</t>
  </si>
  <si>
    <t>Evita asumir que una ayuda visual ya es exacta.</t>
  </si>
  <si>
    <t>LE23</t>
  </si>
  <si>
    <t>Costos</t>
  </si>
  <si>
    <t>Mantener el costo de materiales del prototipo &lt;= S/ 500 y sin suscripción obligatoria.</t>
  </si>
  <si>
    <t>Elaborar lista de materiales con cotizaciones fechadas.</t>
  </si>
  <si>
    <t>S03</t>
  </si>
  <si>
    <t>Artículo experimental</t>
  </si>
  <si>
    <t>Quantifying actual and perceived inaccuracy when estimating sugar, energy content and portion size</t>
  </si>
  <si>
    <t>LE24</t>
  </si>
  <si>
    <t>König, Ziesemer y Renner</t>
  </si>
  <si>
    <t>2019</t>
  </si>
  <si>
    <t>Plazos</t>
  </si>
  <si>
    <t>Completar el Entregable 2 hasta el 08/10/2026.</t>
  </si>
  <si>
    <r>
      <rPr>
        <rFont val="Arial"/>
        <color rgb="FF1155CC"/>
        <sz val="10.0"/>
        <u/>
      </rPr>
      <t>https://pmc.ncbi.nlm.nih.gov/articles/PMC6835963/</t>
    </r>
    <r>
      <rPr>
        <rFont val="Arial"/>
        <color rgb="FF242826"/>
        <sz val="10.0"/>
      </rPr>
      <t xml:space="preserve"> </t>
    </r>
  </si>
  <si>
    <t>Verificar archivos finales y fecha de entrega.</t>
  </si>
  <si>
    <t>Hito académico</t>
  </si>
  <si>
    <t>LE25</t>
  </si>
  <si>
    <t>29/09/2026</t>
  </si>
  <si>
    <t>Conectar el prototipo con el aplicativo para transmitir cantidad, estado y errores, y recibir comandos o confirmación.</t>
  </si>
  <si>
    <t>Establecer el enlace, intercambiar un registro completo, interrumpir la conexión y verificar aviso y reconexión.</t>
  </si>
  <si>
    <t>Por asignar</t>
  </si>
  <si>
    <t>Acuerdo del equipo, 29/09/2026</t>
  </si>
  <si>
    <t>Medio por definir</t>
  </si>
  <si>
    <t>Exactitud real y percibida</t>
  </si>
  <si>
    <t>197 participantes. La exactitud percibida no coincidió con la real (rₛ &lt;= |0,20|); el azúcar se sobreestimó en 62,1 %-98,5 % según el alimento.</t>
  </si>
  <si>
    <t>Permitir corregir y mostrar el origen del dato.</t>
  </si>
  <si>
    <t>Muestra por conveniencia y alimentos del contexto alemán.</t>
  </si>
  <si>
    <t>Confirmar información</t>
  </si>
  <si>
    <t>No usar la confianza del usuario como indicador de exactitud.</t>
  </si>
  <si>
    <t>S04</t>
  </si>
  <si>
    <t>Base oficial</t>
  </si>
  <si>
    <t>Tablas peruanas de composición de alimentos, 11.ª edición digital</t>
  </si>
  <si>
    <t>Instituto Nacional de Salud</t>
  </si>
  <si>
    <t>2023</t>
  </si>
  <si>
    <r>
      <rPr>
        <rFont val="Arial"/>
        <color rgb="FF1155CC"/>
        <sz val="10.0"/>
        <u/>
      </rPr>
      <t>https://hdl.handle.net/20.500.14196/1773</t>
    </r>
    <r>
      <rPr>
        <rFont val="Arial"/>
        <color rgb="FF242826"/>
        <sz val="10.0"/>
      </rPr>
      <t xml:space="preserve"> </t>
    </r>
  </si>
  <si>
    <t>Composición nutricional peruana</t>
  </si>
  <si>
    <t>Energía y nutrientes por alimento o preparación; la edición y la entrada seleccionada deben conservarse.</t>
  </si>
  <si>
    <t>Mostrar fuente, edición, unidad e identificador.</t>
  </si>
  <si>
    <t>La composición varía por variedad, preparación y receta; pueden existir datos faltantes.</t>
  </si>
  <si>
    <t>Consultar referencia</t>
  </si>
  <si>
    <t>Base prioritaria para el contexto peruano.</t>
  </si>
  <si>
    <t>S05</t>
  </si>
  <si>
    <t>Tesis</t>
  </si>
  <si>
    <t>Influencia del etiquetado de alimentos procesados en el comportamiento del consumidor universitario peruano</t>
  </si>
  <si>
    <t>Somocurcio Carrión / Universidad del Pacífico</t>
  </si>
  <si>
    <t>2021</t>
  </si>
  <si>
    <r>
      <rPr>
        <rFont val="Arial"/>
        <color rgb="FF1155CC"/>
        <sz val="10.0"/>
        <u/>
      </rPr>
      <t>https://hdl.handle.net/11354/3271</t>
    </r>
    <r>
      <rPr>
        <rFont val="Arial"/>
        <color rgb="FF242826"/>
        <sz val="10.0"/>
      </rPr>
      <t xml:space="preserve"> </t>
    </r>
  </si>
  <si>
    <t>Uso de información nutricional</t>
  </si>
  <si>
    <t>302 estudiantes; 79 % comprendía el etiquetado y 4 % indicó leerlo siempre.</t>
  </si>
  <si>
    <t>Presentar información breve y accionable.</t>
  </si>
  <si>
    <t>Muestreo no aleatorio por conveniencia; aborda etiquetas de procesados.</t>
  </si>
  <si>
    <t>Informar al usuario</t>
  </si>
  <si>
    <t>Sustenta medir uso real, no solo comprensión.</t>
  </si>
  <si>
    <t>S06</t>
  </si>
  <si>
    <t>Artículo</t>
  </si>
  <si>
    <t>A comparison of food portion size estimation using geometric models and depth images</t>
  </si>
  <si>
    <t>Fang et al.</t>
  </si>
  <si>
    <t>2016</t>
  </si>
  <si>
    <r>
      <rPr>
        <rFont val="Arial"/>
        <color rgb="FF1155CC"/>
        <sz val="10.0"/>
        <u/>
      </rPr>
      <t>https://pmc.ncbi.nlm.nih.gov/articles/PMC6226035/</t>
    </r>
    <r>
      <rPr>
        <rFont val="Arial"/>
        <color rgb="FF242826"/>
        <sz val="10.0"/>
      </rPr>
      <t xml:space="preserve"> </t>
    </r>
  </si>
  <si>
    <t>Modelos geométricos e imagen de profundidad</t>
  </si>
  <si>
    <t>Los modelos geométricos funcionaron mejor en formas definidas; la profundidad tendió a sobreestimar en el conjunto evaluado.</t>
  </si>
  <si>
    <t>Contrastar cantidad con una referencia real.</t>
  </si>
  <si>
    <t>Ensayo con alimentos y condiciones controladas.</t>
  </si>
  <si>
    <t>Muestra que reconocer forma no equivale a obtener gramos.</t>
  </si>
  <si>
    <t>M</t>
  </si>
  <si>
    <t>S07</t>
  </si>
  <si>
    <t>A novel approach to estimate the weight of food items using boosting algorithms</t>
  </si>
  <si>
    <t>Konstantakopoulos, Georga y Fotiadis</t>
  </si>
  <si>
    <r>
      <rPr>
        <rFont val="Arial"/>
        <color rgb="FF1155CC"/>
        <sz val="10.0"/>
        <u/>
      </rPr>
      <t>https://doi.org/10.1038/s41598-023-47885-0</t>
    </r>
    <r>
      <rPr>
        <rFont val="Arial"/>
        <color rgb="FF242826"/>
        <sz val="10.0"/>
      </rPr>
      <t xml:space="preserve"> </t>
    </r>
  </si>
  <si>
    <t>Foto con referencia y regresión</t>
  </si>
  <si>
    <t>23 052 imágenes de 226 platos mediterráneos; MAE 3,93 g y MAPE 3,73 % en ese conjunto.</t>
  </si>
  <si>
    <t>Validar localmente y declarar el dominio del modelo.</t>
  </si>
  <si>
    <t>Depende de segmentación, clasificación y datos de entrenamiento.</t>
  </si>
  <si>
    <t>Identificar y estimar</t>
  </si>
  <si>
    <t>Antecedente de ruta por imagen; no promesa para alimentos peruanos.</t>
  </si>
  <si>
    <t>S08</t>
  </si>
  <si>
    <t>Patente</t>
  </si>
  <si>
    <t>Calculating instrument for nutrients such as calorie and protein, CN114360689A</t>
  </si>
  <si>
    <t>Wan Jingwen / Ningbo University Hospital</t>
  </si>
  <si>
    <r>
      <rPr>
        <rFont val="Arial"/>
        <color rgb="FF1155CC"/>
        <sz val="10.0"/>
        <u/>
      </rPr>
      <t>https://patents.google.com/patent/CN114360689A/en</t>
    </r>
    <r>
      <rPr>
        <rFont val="Arial"/>
        <color rgb="FF242826"/>
        <sz val="10.0"/>
      </rPr>
      <t xml:space="preserve"> </t>
    </r>
  </si>
  <si>
    <t>Sensor de gravedad, cámara y base nutricional</t>
  </si>
  <si>
    <t>Integra pesaje, reconocimiento, búsqueda y cálculo; contempla ingreso del nombre.</t>
  </si>
  <si>
    <t>Mantener corrección manual y cantidad trazable.</t>
  </si>
  <si>
    <t>No presenta validación independiente; incluye consejo clínico fuera del alcance.</t>
  </si>
  <si>
    <t>Registrar, identificar y calcular</t>
  </si>
  <si>
    <t>Referencia de arquitectura, no evidencia de desempeño.</t>
  </si>
  <si>
    <t>S09</t>
  </si>
  <si>
    <t>Connected food scale system and method, US20140063180A1</t>
  </si>
  <si>
    <t>Anshuman Sharma / BBY Solutions</t>
  </si>
  <si>
    <t>2014</t>
  </si>
  <si>
    <r>
      <rPr>
        <rFont val="Arial"/>
        <color rgb="FF1155CC"/>
        <sz val="10.0"/>
        <u/>
      </rPr>
      <t>https://patents.google.com/patent/US20140063180</t>
    </r>
    <r>
      <rPr>
        <rFont val="Arial"/>
        <color rgb="FF242826"/>
        <sz val="10.0"/>
      </rPr>
      <t xml:space="preserve"> </t>
    </r>
  </si>
  <si>
    <t>Balanza conectada a dispositivo móvil</t>
  </si>
  <si>
    <t>Asocia peso, alimento, fotografía e historial.</t>
  </si>
  <si>
    <t>Vincular cantidad con alimento confirmado.</t>
  </si>
  <si>
    <t>No publica error metrológico; solicitud abandonada.</t>
  </si>
  <si>
    <t>Medir y registrar</t>
  </si>
  <si>
    <t>Antecedente de integración entre captura y registro.</t>
  </si>
  <si>
    <t>S10</t>
  </si>
  <si>
    <t>Producto</t>
  </si>
  <si>
    <t>ESN00 Smart Nutrition Scale</t>
  </si>
  <si>
    <t>Etekcity</t>
  </si>
  <si>
    <t>s. f.</t>
  </si>
  <si>
    <r>
      <rPr>
        <rFont val="Arial"/>
        <color rgb="FF1155CC"/>
        <sz val="10.0"/>
        <u/>
      </rPr>
      <t>https://etekcity.com/products/smart-nutrition-scale-esn00</t>
    </r>
    <r>
      <rPr>
        <rFont val="Arial"/>
        <color rgb="FF242826"/>
        <sz val="10.0"/>
      </rPr>
      <t xml:space="preserve"> </t>
    </r>
  </si>
  <si>
    <t>Balanza nutricional con tara y aplicación</t>
  </si>
  <si>
    <t>Rango comercial 3-5000 g; incrementos de 1 g; superficie de acero 304.</t>
  </si>
  <si>
    <t>Considerar tara, rango e higiene si se selecciona pesaje.</t>
  </si>
  <si>
    <t>Un incremento de 1 g no equivale a exactitud; datos del fabricante.</t>
  </si>
  <si>
    <t>Medir cantidad</t>
  </si>
  <si>
    <t>Referencia comercial y de interacción.</t>
  </si>
  <si>
    <t>S11</t>
  </si>
  <si>
    <t>Contador de calorías y dietas con IA</t>
  </si>
  <si>
    <t>Fitia</t>
  </si>
  <si>
    <r>
      <rPr>
        <rFont val="Arial"/>
        <color rgb="FF1155CC"/>
        <sz val="10.0"/>
        <u/>
      </rPr>
      <t>https://fitia.app/es/</t>
    </r>
    <r>
      <rPr>
        <rFont val="Arial"/>
        <color rgb="FF242826"/>
        <sz val="10.0"/>
      </rPr>
      <t xml:space="preserve"> </t>
    </r>
  </si>
  <si>
    <t>Registro por foto, voz, texto y escaneo</t>
  </si>
  <si>
    <t>Ofrece varias rutas de entrada y corrección de alimentos.</t>
  </si>
  <si>
    <t>Mantener una ruta manual y corregible.</t>
  </si>
  <si>
    <t>El sitio comercial no publica error de cantidad aplicable al proyecto.</t>
  </si>
  <si>
    <t>Registrar e identificar</t>
  </si>
  <si>
    <t>Referencia de interacción; no evidencia metrológica.</t>
  </si>
  <si>
    <t>S12</t>
  </si>
  <si>
    <t>Tesis / propuesta</t>
  </si>
  <si>
    <t>Modelo prolab Checkifood</t>
  </si>
  <si>
    <t>Romero De Chorié et al. / PUCP</t>
  </si>
  <si>
    <t>2024</t>
  </si>
  <si>
    <r>
      <rPr>
        <rFont val="Arial"/>
        <color rgb="FF1155CC"/>
        <sz val="10.0"/>
        <u/>
      </rPr>
      <t>https://repositorio.pucp.edu.pe/items/87b87afc-2d59-4af2-934d-5603f26f3536</t>
    </r>
    <r>
      <rPr>
        <rFont val="Arial"/>
        <color rgb="FF242826"/>
        <sz val="10.0"/>
      </rPr>
      <t xml:space="preserve"> </t>
    </r>
  </si>
  <si>
    <t>Aplicación móvil con análisis de fotografías</t>
  </si>
  <si>
    <t>La propuesta busca simplificar el registro de comidas en el contexto peruano.</t>
  </si>
  <si>
    <t>Evaluar tiempo, acciones y facilidad de corrección.</t>
  </si>
  <si>
    <t>No publica error en gramos del sistema propuesto.</t>
  </si>
  <si>
    <t>Registrar e informar</t>
  </si>
  <si>
    <t>Antecedente local de experiencia de usuario.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</si>
</sst>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rgb="FF000000"/>
      <name val="Carlito"/>
      <scheme val="minor"/>
    </font>
    <font>
      <b/>
      <sz val="12.0"/>
      <color rgb="FFFFFFFF"/>
      <name val="Aptos"/>
    </font>
    <font>
      <b/>
      <sz val="10.0"/>
      <color rgb="FFFFFFFF"/>
      <name val="Aptos"/>
    </font>
    <font>
      <b/>
      <sz val="12.0"/>
      <color rgb="FFFFFFFF"/>
      <name val="Arial"/>
    </font>
    <font/>
    <font>
      <b/>
      <sz val="10.0"/>
      <color rgb="FF242826"/>
      <name val="Aptos"/>
    </font>
    <font>
      <sz val="10.0"/>
      <color rgb="FF242826"/>
      <name val="Aptos"/>
    </font>
    <font>
      <sz val="10.0"/>
      <color rgb="FF242826"/>
      <name val="Arial"/>
    </font>
    <font>
      <b/>
      <sz val="13.0"/>
      <color rgb="FF242826"/>
      <name val="Aptos"/>
    </font>
    <font>
      <u/>
      <sz val="10.0"/>
      <color rgb="FF242826"/>
      <name val="Aptos"/>
    </font>
    <font>
      <b/>
      <sz val="10.0"/>
      <color rgb="FF242826"/>
      <name val="Arial"/>
    </font>
  </fonts>
  <fills count="7">
    <fill>
      <patternFill patternType="none"/>
    </fill>
    <fill>
      <patternFill patternType="lightGray"/>
    </fill>
    <fill>
      <patternFill patternType="solid">
        <fgColor rgb="FF303432"/>
        <bgColor rgb="FF303432"/>
      </patternFill>
    </fill>
    <fill>
      <patternFill patternType="solid">
        <fgColor rgb="FFE8EAE7"/>
        <bgColor rgb="FFE8EAE7"/>
      </patternFill>
    </fill>
    <fill>
      <patternFill patternType="solid">
        <fgColor rgb="FFFFFFFF"/>
        <bgColor rgb="FFFFFFFF"/>
      </patternFill>
    </fill>
    <fill>
      <patternFill patternType="solid">
        <fgColor rgb="FF464B48"/>
        <bgColor rgb="FF464B48"/>
      </patternFill>
    </fill>
    <fill>
      <patternFill patternType="solid">
        <fgColor rgb="FFF2F3F0"/>
        <bgColor rgb="FFF2F3F0"/>
      </patternFill>
    </fill>
  </fills>
  <borders count="5">
    <border/>
    <border>
      <left style="thin">
        <color rgb="FFD5D9D5"/>
      </left>
      <right style="thin">
        <color rgb="FFD5D9D5"/>
      </right>
      <top style="thin">
        <color rgb="FFD5D9D5"/>
      </top>
      <bottom style="thin">
        <color rgb="FFD5D9D5"/>
      </bottom>
    </border>
    <border>
      <left style="thin">
        <color rgb="FFD5D9D5"/>
      </left>
      <top style="thin">
        <color rgb="FFD5D9D5"/>
      </top>
      <bottom style="thin">
        <color rgb="FFD5D9D5"/>
      </bottom>
    </border>
    <border>
      <top style="thin">
        <color rgb="FFD5D9D5"/>
      </top>
      <bottom style="thin">
        <color rgb="FFD5D9D5"/>
      </bottom>
    </border>
    <border>
      <right style="thin">
        <color rgb="FFD5D9D5"/>
      </right>
      <top style="thin">
        <color rgb="FFD5D9D5"/>
      </top>
      <bottom style="thin">
        <color rgb="FFD5D9D5"/>
      </bottom>
    </border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1" fillId="2" fontId="2" numFmtId="0" xfId="0" applyAlignment="1" applyBorder="1" applyFill="1" applyFont="1">
      <alignment horizontal="center" shrinkToFit="0" vertical="center" wrapText="1"/>
    </xf>
    <xf borderId="2" fillId="2" fontId="3" numFmtId="0" xfId="0" applyAlignment="1" applyBorder="1" applyFill="1" applyFont="1">
      <alignment horizontal="center" readingOrder="0" shrinkToFit="0" vertical="center" wrapText="1"/>
    </xf>
    <xf borderId="3" fillId="0" fontId="4" numFmtId="0" xfId="0" applyBorder="1" applyFont="1"/>
    <xf borderId="4" fillId="0" fontId="4" numFmtId="0" xfId="0" applyBorder="1" applyFont="1"/>
    <xf borderId="1" fillId="3" fontId="5" numFmtId="0" xfId="0" applyAlignment="1" applyBorder="1" applyFill="1" applyFont="1">
      <alignment shrinkToFit="0" vertical="center" wrapText="1"/>
    </xf>
    <xf borderId="1" fillId="4" fontId="6" numFmtId="0" xfId="0" applyAlignment="1" applyBorder="1" applyFill="1" applyFont="1">
      <alignment shrinkToFit="0" vertical="center" wrapText="1"/>
    </xf>
    <xf borderId="2" fillId="0" fontId="7" numFmtId="0" xfId="0" applyAlignment="1" applyBorder="1" applyFont="1">
      <alignment readingOrder="0" shrinkToFit="0" vertical="center" wrapText="1"/>
    </xf>
    <xf borderId="1" fillId="4" fontId="5" numFmtId="0" xfId="0" applyAlignment="1" applyBorder="1" applyFill="1" applyFont="1">
      <alignment shrinkToFit="0" vertical="center" wrapText="1"/>
    </xf>
    <xf borderId="1" fillId="5" fontId="2" numFmtId="0" xfId="0" applyAlignment="1" applyBorder="1" applyFill="1" applyFont="1">
      <alignment shrinkToFit="0" vertical="center" wrapText="1"/>
    </xf>
    <xf borderId="1" fillId="6" fontId="8" numFmtId="0" xfId="0" applyAlignment="1" applyBorder="1" applyFill="1" applyFont="1">
      <alignment horizontal="center" shrinkToFit="0" vertical="center" wrapText="1"/>
    </xf>
    <xf borderId="2" fillId="0" fontId="6" numFmtId="0" xfId="0" applyAlignment="1" applyBorder="1" applyFont="1">
      <alignment shrinkToFit="0" vertical="center" wrapText="1"/>
    </xf>
    <xf borderId="1" fillId="4" fontId="9" numFmtId="0" xfId="0" applyAlignment="1" applyBorder="1" applyFill="1" applyFont="1">
      <alignment readingOrder="0" shrinkToFit="0" vertical="center" wrapText="1"/>
    </xf>
    <xf borderId="1" fillId="3" fontId="10" numFmtId="0" xfId="0" applyAlignment="1" applyBorder="1" applyFill="1" applyFont="1">
      <alignment readingOrder="0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1" Type="http://schemas.openxmlformats.org/officeDocument/2006/relationships/hyperlink" Target="https://fitia.app/es/" TargetMode="External"/><Relationship Id="rId10" Type="http://schemas.openxmlformats.org/officeDocument/2006/relationships/hyperlink" Target="https://etekcity.com/products/smart-nutrition-scale-esn00" TargetMode="External"/><Relationship Id="rId13" Type="http://schemas.openxmlformats.org/officeDocument/2006/relationships/drawing" Target="../drawings/drawing2.xml"/><Relationship Id="rId12" Type="http://schemas.openxmlformats.org/officeDocument/2006/relationships/hyperlink" Target="https://repositorio.pucp.edu.pe/items/87b87afc-2d59-4af2-934d-5603f26f3536" TargetMode="External"/><Relationship Id="rId1" Type="http://schemas.openxmlformats.org/officeDocument/2006/relationships/hyperlink" Target="https://pmc.ncbi.nlm.nih.gov/articles/PMC9776649/" TargetMode="External"/><Relationship Id="rId2" Type="http://schemas.openxmlformats.org/officeDocument/2006/relationships/hyperlink" Target="https://pubmed.ncbi.nlm.nih.gov/31999347/" TargetMode="External"/><Relationship Id="rId3" Type="http://schemas.openxmlformats.org/officeDocument/2006/relationships/hyperlink" Target="https://pmc.ncbi.nlm.nih.gov/articles/PMC6835963/" TargetMode="External"/><Relationship Id="rId4" Type="http://schemas.openxmlformats.org/officeDocument/2006/relationships/hyperlink" Target="https://hdl.handle.net/20.500.14196/1773" TargetMode="External"/><Relationship Id="rId9" Type="http://schemas.openxmlformats.org/officeDocument/2006/relationships/hyperlink" Target="https://patents.google.com/patent/US20140063180" TargetMode="External"/><Relationship Id="rId5" Type="http://schemas.openxmlformats.org/officeDocument/2006/relationships/hyperlink" Target="https://hdl.handle.net/11354/3271" TargetMode="External"/><Relationship Id="rId6" Type="http://schemas.openxmlformats.org/officeDocument/2006/relationships/hyperlink" Target="https://pmc.ncbi.nlm.nih.gov/articles/PMC6226035/" TargetMode="External"/><Relationship Id="rId7" Type="http://schemas.openxmlformats.org/officeDocument/2006/relationships/hyperlink" Target="https://doi.org/10.1038/s41598-023-47885-0" TargetMode="External"/><Relationship Id="rId8" Type="http://schemas.openxmlformats.org/officeDocument/2006/relationships/hyperlink" Target="https://patents.google.com/patent/CN114360689A/en" TargetMode="Externa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0.5"/>
    <col customWidth="1" min="2" max="2" width="65.0"/>
    <col customWidth="1" min="3" max="4" width="18.13"/>
    <col customWidth="1" min="5" max="26" width="8.63"/>
  </cols>
  <sheetData>
    <row r="1" ht="34.5" customHeight="1">
      <c r="A1" s="1" t="s">
        <v>0</v>
      </c>
      <c r="B1" s="3" t="s">
        <v>2</v>
      </c>
      <c r="C1" s="4"/>
      <c r="D1" s="5"/>
    </row>
    <row r="2" ht="34.5" customHeight="1">
      <c r="A2" s="6" t="s">
        <v>13</v>
      </c>
      <c r="B2" s="8" t="s">
        <v>18</v>
      </c>
      <c r="C2" s="4"/>
      <c r="D2" s="5"/>
    </row>
    <row r="3" ht="31.5" customHeight="1">
      <c r="A3" s="10" t="s">
        <v>26</v>
      </c>
      <c r="B3" s="10" t="s">
        <v>34</v>
      </c>
      <c r="C3" s="10" t="s">
        <v>37</v>
      </c>
      <c r="D3" s="10" t="s">
        <v>38</v>
      </c>
    </row>
    <row r="4" ht="31.5" customHeight="1">
      <c r="A4" s="6" t="s">
        <v>40</v>
      </c>
      <c r="B4" s="11">
        <f>COUNTA('Matriz Desk Research'!A2:A13)</f>
        <v>12</v>
      </c>
      <c r="C4" s="11">
        <f>COUNTIF('Lista de exigencias'!C2:C26,"E")</f>
        <v>14</v>
      </c>
      <c r="D4" s="11">
        <f>COUNTIF('Lista de exigencias'!C2:C26,"D")</f>
        <v>11</v>
      </c>
    </row>
    <row r="5" ht="43.5" customHeight="1">
      <c r="A5" s="6" t="s">
        <v>87</v>
      </c>
      <c r="B5" s="12" t="s">
        <v>91</v>
      </c>
      <c r="C5" s="4"/>
      <c r="D5" s="5"/>
    </row>
    <row r="6" ht="43.5" customHeight="1">
      <c r="A6" s="6" t="s">
        <v>97</v>
      </c>
      <c r="B6" s="12" t="s">
        <v>99</v>
      </c>
      <c r="C6" s="4"/>
      <c r="D6" s="5"/>
    </row>
    <row r="7" ht="43.5" customHeight="1">
      <c r="A7" s="6" t="s">
        <v>108</v>
      </c>
      <c r="B7" s="12" t="s">
        <v>111</v>
      </c>
      <c r="C7" s="4"/>
      <c r="D7" s="5"/>
    </row>
    <row r="8" ht="43.5" customHeight="1">
      <c r="A8" s="14" t="s">
        <v>121</v>
      </c>
      <c r="B8" s="12" t="s">
        <v>126</v>
      </c>
      <c r="C8" s="4"/>
      <c r="D8" s="5"/>
    </row>
    <row r="9" ht="43.5" customHeight="1">
      <c r="A9" s="6" t="s">
        <v>135</v>
      </c>
      <c r="B9" s="12" t="s">
        <v>137</v>
      </c>
      <c r="C9" s="4"/>
      <c r="D9" s="5"/>
    </row>
    <row r="10" ht="43.5" customHeight="1">
      <c r="A10" s="6" t="s">
        <v>143</v>
      </c>
      <c r="B10" s="12" t="s">
        <v>146</v>
      </c>
      <c r="C10" s="4"/>
      <c r="D10" s="5"/>
    </row>
    <row r="11" ht="43.5" customHeight="1">
      <c r="A11" s="6" t="s">
        <v>150</v>
      </c>
      <c r="B11" s="12" t="s">
        <v>153</v>
      </c>
      <c r="C11" s="4"/>
      <c r="D11" s="5"/>
    </row>
    <row r="12" ht="43.5" customHeight="1">
      <c r="A12" s="6" t="s">
        <v>159</v>
      </c>
      <c r="B12" s="12" t="s">
        <v>161</v>
      </c>
      <c r="C12" s="4"/>
      <c r="D12" s="5"/>
    </row>
    <row r="13" ht="43.5" customHeight="1">
      <c r="A13" s="6" t="s">
        <v>167</v>
      </c>
      <c r="B13" s="12" t="s">
        <v>170</v>
      </c>
      <c r="C13" s="4"/>
      <c r="D13" s="5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B10:D10"/>
    <mergeCell ref="B11:D11"/>
    <mergeCell ref="B12:D12"/>
    <mergeCell ref="B13:D13"/>
    <mergeCell ref="B1:D1"/>
    <mergeCell ref="B2:D2"/>
    <mergeCell ref="B5:D5"/>
    <mergeCell ref="B6:D6"/>
    <mergeCell ref="B7:D7"/>
    <mergeCell ref="B8:D8"/>
    <mergeCell ref="B9:D9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6.88"/>
    <col customWidth="1" min="2" max="2" width="13.75"/>
    <col customWidth="1" min="3" max="3" width="35.63"/>
    <col customWidth="1" min="4" max="4" width="25.0"/>
    <col customWidth="1" min="5" max="5" width="8.13"/>
    <col customWidth="1" min="6" max="6" width="37.5"/>
    <col customWidth="1" min="7" max="7" width="28.75"/>
    <col customWidth="1" min="8" max="8" width="41.25"/>
    <col customWidth="1" min="9" max="9" width="34.38"/>
    <col customWidth="1" min="10" max="10" width="33.75"/>
    <col customWidth="1" min="11" max="11" width="20.0"/>
    <col customWidth="1" min="12" max="12" width="32.5"/>
    <col customWidth="1" min="13" max="14" width="6.88"/>
    <col customWidth="1" min="15" max="15" width="7.5"/>
    <col customWidth="1" min="16" max="17" width="6.88"/>
    <col customWidth="1" min="18" max="26" width="8.63"/>
  </cols>
  <sheetData>
    <row r="1" ht="33.0" customHeight="1">
      <c r="A1" s="2" t="s">
        <v>1</v>
      </c>
      <c r="B1" s="2" t="s">
        <v>4</v>
      </c>
      <c r="C1" s="2" t="s">
        <v>9</v>
      </c>
      <c r="D1" s="2" t="s">
        <v>11</v>
      </c>
      <c r="E1" s="2" t="s">
        <v>12</v>
      </c>
      <c r="F1" s="2" t="s">
        <v>15</v>
      </c>
      <c r="G1" s="2" t="s">
        <v>16</v>
      </c>
      <c r="H1" s="2" t="s">
        <v>17</v>
      </c>
      <c r="I1" s="2" t="s">
        <v>19</v>
      </c>
      <c r="J1" s="2" t="s">
        <v>21</v>
      </c>
      <c r="K1" s="2" t="s">
        <v>22</v>
      </c>
      <c r="L1" s="2" t="s">
        <v>24</v>
      </c>
      <c r="M1" s="2" t="s">
        <v>25</v>
      </c>
      <c r="N1" s="2" t="s">
        <v>27</v>
      </c>
      <c r="O1" s="2" t="s">
        <v>29</v>
      </c>
      <c r="P1" s="2" t="s">
        <v>32</v>
      </c>
      <c r="Q1" s="2" t="s">
        <v>36</v>
      </c>
    </row>
    <row r="2" ht="93.0" customHeight="1">
      <c r="A2" s="7" t="s">
        <v>44</v>
      </c>
      <c r="B2" s="7" t="s">
        <v>48</v>
      </c>
      <c r="C2" s="7" t="s">
        <v>50</v>
      </c>
      <c r="D2" s="7" t="s">
        <v>52</v>
      </c>
      <c r="E2" s="7" t="s">
        <v>53</v>
      </c>
      <c r="F2" s="13" t="s">
        <v>57</v>
      </c>
      <c r="G2" s="7" t="s">
        <v>101</v>
      </c>
      <c r="H2" s="7" t="s">
        <v>104</v>
      </c>
      <c r="I2" s="7" t="s">
        <v>106</v>
      </c>
      <c r="J2" s="7" t="s">
        <v>109</v>
      </c>
      <c r="K2" s="7" t="s">
        <v>112</v>
      </c>
      <c r="L2" s="7" t="s">
        <v>113</v>
      </c>
      <c r="M2" s="7" t="s">
        <v>116</v>
      </c>
      <c r="N2" s="7" t="s">
        <v>116</v>
      </c>
      <c r="O2" s="7" t="s">
        <v>116</v>
      </c>
      <c r="P2" s="7" t="s">
        <v>116</v>
      </c>
      <c r="Q2" s="7" t="s">
        <v>116</v>
      </c>
    </row>
    <row r="3" ht="93.0" customHeight="1">
      <c r="A3" s="7" t="s">
        <v>123</v>
      </c>
      <c r="B3" s="7" t="s">
        <v>48</v>
      </c>
      <c r="C3" s="7" t="s">
        <v>124</v>
      </c>
      <c r="D3" s="7" t="s">
        <v>127</v>
      </c>
      <c r="E3" s="7" t="s">
        <v>128</v>
      </c>
      <c r="F3" s="13" t="s">
        <v>132</v>
      </c>
      <c r="G3" s="7" t="s">
        <v>166</v>
      </c>
      <c r="H3" s="7" t="s">
        <v>169</v>
      </c>
      <c r="I3" s="7" t="s">
        <v>171</v>
      </c>
      <c r="J3" s="7" t="s">
        <v>173</v>
      </c>
      <c r="K3" s="7" t="s">
        <v>175</v>
      </c>
      <c r="L3" s="7" t="s">
        <v>178</v>
      </c>
      <c r="M3" s="7" t="s">
        <v>116</v>
      </c>
      <c r="N3" s="7" t="s">
        <v>116</v>
      </c>
      <c r="O3" s="7" t="s">
        <v>116</v>
      </c>
      <c r="P3" s="7" t="s">
        <v>116</v>
      </c>
      <c r="Q3" s="7" t="s">
        <v>116</v>
      </c>
    </row>
    <row r="4" ht="93.0" customHeight="1">
      <c r="A4" s="7" t="s">
        <v>183</v>
      </c>
      <c r="B4" s="7" t="s">
        <v>184</v>
      </c>
      <c r="C4" s="7" t="s">
        <v>185</v>
      </c>
      <c r="D4" s="7" t="s">
        <v>187</v>
      </c>
      <c r="E4" s="7" t="s">
        <v>188</v>
      </c>
      <c r="F4" s="13" t="s">
        <v>191</v>
      </c>
      <c r="G4" s="7" t="s">
        <v>201</v>
      </c>
      <c r="H4" s="7" t="s">
        <v>202</v>
      </c>
      <c r="I4" s="7" t="s">
        <v>203</v>
      </c>
      <c r="J4" s="7" t="s">
        <v>204</v>
      </c>
      <c r="K4" s="7" t="s">
        <v>205</v>
      </c>
      <c r="L4" s="7" t="s">
        <v>206</v>
      </c>
      <c r="M4" s="7" t="s">
        <v>116</v>
      </c>
      <c r="N4" s="7" t="s">
        <v>116</v>
      </c>
      <c r="O4" s="7" t="s">
        <v>116</v>
      </c>
      <c r="P4" s="7" t="s">
        <v>116</v>
      </c>
      <c r="Q4" s="7" t="s">
        <v>116</v>
      </c>
    </row>
    <row r="5" ht="93.0" customHeight="1">
      <c r="A5" s="7" t="s">
        <v>207</v>
      </c>
      <c r="B5" s="7" t="s">
        <v>208</v>
      </c>
      <c r="C5" s="7" t="s">
        <v>209</v>
      </c>
      <c r="D5" s="7" t="s">
        <v>210</v>
      </c>
      <c r="E5" s="7" t="s">
        <v>211</v>
      </c>
      <c r="F5" s="13" t="s">
        <v>212</v>
      </c>
      <c r="G5" s="7" t="s">
        <v>213</v>
      </c>
      <c r="H5" s="7" t="s">
        <v>214</v>
      </c>
      <c r="I5" s="7" t="s">
        <v>215</v>
      </c>
      <c r="J5" s="7" t="s">
        <v>216</v>
      </c>
      <c r="K5" s="7" t="s">
        <v>217</v>
      </c>
      <c r="L5" s="7" t="s">
        <v>218</v>
      </c>
      <c r="M5" s="7" t="s">
        <v>116</v>
      </c>
      <c r="N5" s="7" t="s">
        <v>116</v>
      </c>
      <c r="O5" s="7" t="s">
        <v>116</v>
      </c>
      <c r="P5" s="7" t="s">
        <v>116</v>
      </c>
      <c r="Q5" s="7" t="s">
        <v>116</v>
      </c>
    </row>
    <row r="6" ht="93.0" customHeight="1">
      <c r="A6" s="7" t="s">
        <v>219</v>
      </c>
      <c r="B6" s="7" t="s">
        <v>220</v>
      </c>
      <c r="C6" s="7" t="s">
        <v>221</v>
      </c>
      <c r="D6" s="7" t="s">
        <v>222</v>
      </c>
      <c r="E6" s="7" t="s">
        <v>223</v>
      </c>
      <c r="F6" s="13" t="s">
        <v>224</v>
      </c>
      <c r="G6" s="7" t="s">
        <v>225</v>
      </c>
      <c r="H6" s="7" t="s">
        <v>226</v>
      </c>
      <c r="I6" s="7" t="s">
        <v>227</v>
      </c>
      <c r="J6" s="7" t="s">
        <v>228</v>
      </c>
      <c r="K6" s="7" t="s">
        <v>229</v>
      </c>
      <c r="L6" s="7" t="s">
        <v>230</v>
      </c>
      <c r="M6" s="7" t="s">
        <v>116</v>
      </c>
      <c r="N6" s="7" t="s">
        <v>116</v>
      </c>
      <c r="O6" s="7" t="s">
        <v>116</v>
      </c>
      <c r="P6" s="7" t="s">
        <v>116</v>
      </c>
      <c r="Q6" s="7" t="s">
        <v>116</v>
      </c>
    </row>
    <row r="7" ht="93.0" customHeight="1">
      <c r="A7" s="7" t="s">
        <v>231</v>
      </c>
      <c r="B7" s="7" t="s">
        <v>232</v>
      </c>
      <c r="C7" s="7" t="s">
        <v>233</v>
      </c>
      <c r="D7" s="7" t="s">
        <v>234</v>
      </c>
      <c r="E7" s="7" t="s">
        <v>235</v>
      </c>
      <c r="F7" s="13" t="s">
        <v>236</v>
      </c>
      <c r="G7" s="7" t="s">
        <v>237</v>
      </c>
      <c r="H7" s="7" t="s">
        <v>238</v>
      </c>
      <c r="I7" s="7" t="s">
        <v>239</v>
      </c>
      <c r="J7" s="7" t="s">
        <v>240</v>
      </c>
      <c r="K7" s="7" t="s">
        <v>175</v>
      </c>
      <c r="L7" s="7" t="s">
        <v>241</v>
      </c>
      <c r="M7" s="7" t="s">
        <v>116</v>
      </c>
      <c r="N7" s="7" t="s">
        <v>116</v>
      </c>
      <c r="O7" s="7" t="s">
        <v>242</v>
      </c>
      <c r="P7" s="7" t="s">
        <v>116</v>
      </c>
      <c r="Q7" s="7" t="s">
        <v>116</v>
      </c>
    </row>
    <row r="8" ht="93.0" customHeight="1">
      <c r="A8" s="7" t="s">
        <v>243</v>
      </c>
      <c r="B8" s="7" t="s">
        <v>232</v>
      </c>
      <c r="C8" s="7" t="s">
        <v>244</v>
      </c>
      <c r="D8" s="7" t="s">
        <v>245</v>
      </c>
      <c r="E8" s="7" t="s">
        <v>211</v>
      </c>
      <c r="F8" s="13" t="s">
        <v>246</v>
      </c>
      <c r="G8" s="7" t="s">
        <v>247</v>
      </c>
      <c r="H8" s="7" t="s">
        <v>248</v>
      </c>
      <c r="I8" s="7" t="s">
        <v>249</v>
      </c>
      <c r="J8" s="7" t="s">
        <v>250</v>
      </c>
      <c r="K8" s="7" t="s">
        <v>251</v>
      </c>
      <c r="L8" s="7" t="s">
        <v>252</v>
      </c>
      <c r="M8" s="7" t="s">
        <v>116</v>
      </c>
      <c r="N8" s="7" t="s">
        <v>116</v>
      </c>
      <c r="O8" s="7" t="s">
        <v>116</v>
      </c>
      <c r="P8" s="7" t="s">
        <v>116</v>
      </c>
      <c r="Q8" s="7" t="s">
        <v>116</v>
      </c>
    </row>
    <row r="9" ht="93.0" customHeight="1">
      <c r="A9" s="7" t="s">
        <v>253</v>
      </c>
      <c r="B9" s="7" t="s">
        <v>254</v>
      </c>
      <c r="C9" s="7" t="s">
        <v>255</v>
      </c>
      <c r="D9" s="7" t="s">
        <v>256</v>
      </c>
      <c r="E9" s="7" t="s">
        <v>53</v>
      </c>
      <c r="F9" s="13" t="s">
        <v>257</v>
      </c>
      <c r="G9" s="7" t="s">
        <v>258</v>
      </c>
      <c r="H9" s="7" t="s">
        <v>259</v>
      </c>
      <c r="I9" s="7" t="s">
        <v>260</v>
      </c>
      <c r="J9" s="7" t="s">
        <v>261</v>
      </c>
      <c r="K9" s="7" t="s">
        <v>262</v>
      </c>
      <c r="L9" s="7" t="s">
        <v>263</v>
      </c>
      <c r="M9" s="7" t="s">
        <v>116</v>
      </c>
      <c r="N9" s="7" t="s">
        <v>242</v>
      </c>
      <c r="O9" s="7" t="s">
        <v>116</v>
      </c>
      <c r="P9" s="7" t="s">
        <v>242</v>
      </c>
      <c r="Q9" s="7" t="s">
        <v>116</v>
      </c>
    </row>
    <row r="10" ht="93.0" customHeight="1">
      <c r="A10" s="7" t="s">
        <v>264</v>
      </c>
      <c r="B10" s="7" t="s">
        <v>254</v>
      </c>
      <c r="C10" s="7" t="s">
        <v>265</v>
      </c>
      <c r="D10" s="7" t="s">
        <v>266</v>
      </c>
      <c r="E10" s="7" t="s">
        <v>267</v>
      </c>
      <c r="F10" s="13" t="s">
        <v>268</v>
      </c>
      <c r="G10" s="7" t="s">
        <v>269</v>
      </c>
      <c r="H10" s="7" t="s">
        <v>270</v>
      </c>
      <c r="I10" s="7" t="s">
        <v>271</v>
      </c>
      <c r="J10" s="7" t="s">
        <v>272</v>
      </c>
      <c r="K10" s="7" t="s">
        <v>273</v>
      </c>
      <c r="L10" s="7" t="s">
        <v>274</v>
      </c>
      <c r="M10" s="7" t="s">
        <v>116</v>
      </c>
      <c r="N10" s="7" t="s">
        <v>242</v>
      </c>
      <c r="O10" s="7" t="s">
        <v>242</v>
      </c>
      <c r="P10" s="7" t="s">
        <v>242</v>
      </c>
      <c r="Q10" s="7" t="s">
        <v>116</v>
      </c>
    </row>
    <row r="11" ht="93.0" customHeight="1">
      <c r="A11" s="7" t="s">
        <v>275</v>
      </c>
      <c r="B11" s="7" t="s">
        <v>276</v>
      </c>
      <c r="C11" s="7" t="s">
        <v>277</v>
      </c>
      <c r="D11" s="7" t="s">
        <v>278</v>
      </c>
      <c r="E11" s="7" t="s">
        <v>279</v>
      </c>
      <c r="F11" s="13" t="s">
        <v>280</v>
      </c>
      <c r="G11" s="7" t="s">
        <v>281</v>
      </c>
      <c r="H11" s="7" t="s">
        <v>282</v>
      </c>
      <c r="I11" s="7" t="s">
        <v>283</v>
      </c>
      <c r="J11" s="7" t="s">
        <v>284</v>
      </c>
      <c r="K11" s="7" t="s">
        <v>285</v>
      </c>
      <c r="L11" s="7" t="s">
        <v>286</v>
      </c>
      <c r="M11" s="7" t="s">
        <v>116</v>
      </c>
      <c r="N11" s="7" t="s">
        <v>242</v>
      </c>
      <c r="O11" s="7" t="s">
        <v>116</v>
      </c>
      <c r="P11" s="7" t="s">
        <v>242</v>
      </c>
      <c r="Q11" s="7" t="s">
        <v>116</v>
      </c>
    </row>
    <row r="12" ht="93.0" customHeight="1">
      <c r="A12" s="7" t="s">
        <v>287</v>
      </c>
      <c r="B12" s="7" t="s">
        <v>276</v>
      </c>
      <c r="C12" s="7" t="s">
        <v>288</v>
      </c>
      <c r="D12" s="7" t="s">
        <v>289</v>
      </c>
      <c r="E12" s="7" t="s">
        <v>279</v>
      </c>
      <c r="F12" s="13" t="s">
        <v>290</v>
      </c>
      <c r="G12" s="7" t="s">
        <v>291</v>
      </c>
      <c r="H12" s="7" t="s">
        <v>292</v>
      </c>
      <c r="I12" s="7" t="s">
        <v>293</v>
      </c>
      <c r="J12" s="7" t="s">
        <v>294</v>
      </c>
      <c r="K12" s="7" t="s">
        <v>295</v>
      </c>
      <c r="L12" s="7" t="s">
        <v>296</v>
      </c>
      <c r="M12" s="7" t="s">
        <v>116</v>
      </c>
      <c r="N12" s="7" t="s">
        <v>242</v>
      </c>
      <c r="O12" s="7" t="s">
        <v>116</v>
      </c>
      <c r="P12" s="7" t="s">
        <v>242</v>
      </c>
      <c r="Q12" s="7" t="s">
        <v>116</v>
      </c>
    </row>
    <row r="13" ht="93.0" customHeight="1">
      <c r="A13" s="7" t="s">
        <v>297</v>
      </c>
      <c r="B13" s="7" t="s">
        <v>298</v>
      </c>
      <c r="C13" s="7" t="s">
        <v>299</v>
      </c>
      <c r="D13" s="7" t="s">
        <v>300</v>
      </c>
      <c r="E13" s="7" t="s">
        <v>301</v>
      </c>
      <c r="F13" s="13" t="s">
        <v>302</v>
      </c>
      <c r="G13" s="7" t="s">
        <v>303</v>
      </c>
      <c r="H13" s="7" t="s">
        <v>304</v>
      </c>
      <c r="I13" s="7" t="s">
        <v>305</v>
      </c>
      <c r="J13" s="7" t="s">
        <v>306</v>
      </c>
      <c r="K13" s="7" t="s">
        <v>307</v>
      </c>
      <c r="L13" s="7" t="s">
        <v>308</v>
      </c>
      <c r="M13" s="7" t="s">
        <v>116</v>
      </c>
      <c r="N13" s="7" t="s">
        <v>116</v>
      </c>
      <c r="O13" s="7" t="s">
        <v>116</v>
      </c>
      <c r="P13" s="7" t="s">
        <v>242</v>
      </c>
      <c r="Q13" s="7" t="s">
        <v>116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F2"/>
    <hyperlink r:id="rId2" ref="F3"/>
    <hyperlink r:id="rId3" ref="F4"/>
    <hyperlink r:id="rId4" ref="F5"/>
    <hyperlink r:id="rId5" ref="F6"/>
    <hyperlink r:id="rId6" ref="F7"/>
    <hyperlink r:id="rId7" ref="F8"/>
    <hyperlink r:id="rId8" ref="F9"/>
    <hyperlink r:id="rId9" ref="F10"/>
    <hyperlink r:id="rId10" ref="F11"/>
    <hyperlink r:id="rId11" ref="F12"/>
    <hyperlink r:id="rId12" ref="F13"/>
  </hyperlinks>
  <printOptions/>
  <pageMargins bottom="0.75" footer="0.0" header="0.0" left="0.7" right="0.7" top="0.75"/>
  <pageSetup orientation="landscape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7.75"/>
    <col customWidth="1" min="2" max="2" width="11.5"/>
    <col customWidth="1" min="3" max="3" width="6.5"/>
    <col customWidth="1" min="4" max="4" width="18.75"/>
    <col customWidth="1" min="5" max="5" width="65.0"/>
    <col customWidth="1" min="6" max="6" width="53.75"/>
    <col customWidth="1" min="7" max="7" width="13.13"/>
    <col customWidth="1" min="8" max="9" width="18.75"/>
    <col customWidth="1" min="10" max="26" width="8.63"/>
  </cols>
  <sheetData>
    <row r="1" ht="31.5" customHeight="1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</row>
    <row r="2" ht="60.0" customHeight="1">
      <c r="A2" s="7" t="s">
        <v>14</v>
      </c>
      <c r="B2" s="7" t="s">
        <v>20</v>
      </c>
      <c r="C2" s="9" t="s">
        <v>23</v>
      </c>
      <c r="D2" s="7" t="s">
        <v>22</v>
      </c>
      <c r="E2" s="7" t="s">
        <v>28</v>
      </c>
      <c r="F2" s="7" t="s">
        <v>30</v>
      </c>
      <c r="G2" s="7" t="s">
        <v>31</v>
      </c>
      <c r="H2" s="7" t="s">
        <v>33</v>
      </c>
      <c r="I2" s="7" t="s">
        <v>35</v>
      </c>
    </row>
    <row r="3" ht="60.0" customHeight="1">
      <c r="A3" s="7" t="s">
        <v>39</v>
      </c>
      <c r="B3" s="7" t="s">
        <v>20</v>
      </c>
      <c r="C3" s="9" t="s">
        <v>41</v>
      </c>
      <c r="D3" s="7" t="s">
        <v>42</v>
      </c>
      <c r="E3" s="7" t="s">
        <v>43</v>
      </c>
      <c r="F3" s="7" t="s">
        <v>45</v>
      </c>
      <c r="G3" s="7" t="s">
        <v>46</v>
      </c>
      <c r="H3" s="7" t="s">
        <v>47</v>
      </c>
      <c r="I3" s="7" t="s">
        <v>49</v>
      </c>
    </row>
    <row r="4" ht="60.0" customHeight="1">
      <c r="A4" s="7" t="s">
        <v>51</v>
      </c>
      <c r="B4" s="7" t="s">
        <v>20</v>
      </c>
      <c r="C4" s="9" t="s">
        <v>41</v>
      </c>
      <c r="D4" s="7" t="s">
        <v>42</v>
      </c>
      <c r="E4" s="7" t="s">
        <v>54</v>
      </c>
      <c r="F4" s="7" t="s">
        <v>55</v>
      </c>
      <c r="G4" s="7" t="s">
        <v>46</v>
      </c>
      <c r="H4" s="7" t="s">
        <v>47</v>
      </c>
      <c r="I4" s="7" t="s">
        <v>49</v>
      </c>
    </row>
    <row r="5" ht="60.0" customHeight="1">
      <c r="A5" s="7" t="s">
        <v>56</v>
      </c>
      <c r="B5" s="7" t="s">
        <v>20</v>
      </c>
      <c r="C5" s="9" t="s">
        <v>23</v>
      </c>
      <c r="D5" s="7" t="s">
        <v>58</v>
      </c>
      <c r="E5" s="7" t="s">
        <v>59</v>
      </c>
      <c r="F5" s="7" t="s">
        <v>60</v>
      </c>
      <c r="G5" s="7" t="s">
        <v>61</v>
      </c>
      <c r="H5" s="7" t="s">
        <v>47</v>
      </c>
      <c r="I5" s="7" t="s">
        <v>35</v>
      </c>
    </row>
    <row r="6" ht="60.0" customHeight="1">
      <c r="A6" s="7" t="s">
        <v>62</v>
      </c>
      <c r="B6" s="7" t="s">
        <v>20</v>
      </c>
      <c r="C6" s="9" t="s">
        <v>41</v>
      </c>
      <c r="D6" s="7" t="s">
        <v>58</v>
      </c>
      <c r="E6" s="7" t="s">
        <v>63</v>
      </c>
      <c r="F6" s="7" t="s">
        <v>64</v>
      </c>
      <c r="G6" s="7" t="s">
        <v>61</v>
      </c>
      <c r="H6" s="7" t="s">
        <v>33</v>
      </c>
      <c r="I6" s="7" t="s">
        <v>65</v>
      </c>
    </row>
    <row r="7" ht="60.0" customHeight="1">
      <c r="A7" s="7" t="s">
        <v>66</v>
      </c>
      <c r="B7" s="7" t="s">
        <v>20</v>
      </c>
      <c r="C7" s="9" t="s">
        <v>41</v>
      </c>
      <c r="D7" s="7" t="s">
        <v>67</v>
      </c>
      <c r="E7" s="7" t="s">
        <v>68</v>
      </c>
      <c r="F7" s="7" t="s">
        <v>69</v>
      </c>
      <c r="G7" s="7" t="s">
        <v>31</v>
      </c>
      <c r="H7" s="7" t="s">
        <v>47</v>
      </c>
      <c r="I7" s="7" t="s">
        <v>49</v>
      </c>
    </row>
    <row r="8" ht="60.0" customHeight="1">
      <c r="A8" s="7" t="s">
        <v>70</v>
      </c>
      <c r="B8" s="7" t="s">
        <v>20</v>
      </c>
      <c r="C8" s="9" t="s">
        <v>23</v>
      </c>
      <c r="D8" s="7" t="s">
        <v>71</v>
      </c>
      <c r="E8" s="7" t="s">
        <v>72</v>
      </c>
      <c r="F8" s="7" t="s">
        <v>73</v>
      </c>
      <c r="G8" s="7" t="s">
        <v>31</v>
      </c>
      <c r="H8" s="7" t="s">
        <v>74</v>
      </c>
      <c r="I8" s="7" t="s">
        <v>35</v>
      </c>
    </row>
    <row r="9" ht="60.0" customHeight="1">
      <c r="A9" s="7" t="s">
        <v>75</v>
      </c>
      <c r="B9" s="7" t="s">
        <v>20</v>
      </c>
      <c r="C9" s="9" t="s">
        <v>41</v>
      </c>
      <c r="D9" s="7" t="s">
        <v>71</v>
      </c>
      <c r="E9" s="7" t="s">
        <v>76</v>
      </c>
      <c r="F9" s="7" t="s">
        <v>77</v>
      </c>
      <c r="G9" s="7" t="s">
        <v>31</v>
      </c>
      <c r="H9" s="7" t="s">
        <v>78</v>
      </c>
      <c r="I9" s="7" t="s">
        <v>65</v>
      </c>
    </row>
    <row r="10" ht="60.0" customHeight="1">
      <c r="A10" s="7" t="s">
        <v>79</v>
      </c>
      <c r="B10" s="7" t="s">
        <v>20</v>
      </c>
      <c r="C10" s="9" t="s">
        <v>23</v>
      </c>
      <c r="D10" s="7" t="s">
        <v>80</v>
      </c>
      <c r="E10" s="7" t="s">
        <v>81</v>
      </c>
      <c r="F10" s="7" t="s">
        <v>82</v>
      </c>
      <c r="G10" s="7" t="s">
        <v>31</v>
      </c>
      <c r="H10" s="7" t="s">
        <v>33</v>
      </c>
      <c r="I10" s="7" t="s">
        <v>35</v>
      </c>
    </row>
    <row r="11" ht="60.0" customHeight="1">
      <c r="A11" s="7" t="s">
        <v>83</v>
      </c>
      <c r="B11" s="7" t="s">
        <v>20</v>
      </c>
      <c r="C11" s="9" t="s">
        <v>23</v>
      </c>
      <c r="D11" s="7" t="s">
        <v>80</v>
      </c>
      <c r="E11" s="7" t="s">
        <v>84</v>
      </c>
      <c r="F11" s="7" t="s">
        <v>85</v>
      </c>
      <c r="G11" s="7" t="s">
        <v>31</v>
      </c>
      <c r="H11" s="7" t="s">
        <v>33</v>
      </c>
      <c r="I11" s="7" t="s">
        <v>35</v>
      </c>
    </row>
    <row r="12" ht="60.0" customHeight="1">
      <c r="A12" s="7" t="s">
        <v>86</v>
      </c>
      <c r="B12" s="7" t="s">
        <v>20</v>
      </c>
      <c r="C12" s="9" t="s">
        <v>23</v>
      </c>
      <c r="D12" s="7" t="s">
        <v>88</v>
      </c>
      <c r="E12" s="7" t="s">
        <v>89</v>
      </c>
      <c r="F12" s="7" t="s">
        <v>90</v>
      </c>
      <c r="G12" s="7" t="s">
        <v>31</v>
      </c>
      <c r="H12" s="7" t="s">
        <v>92</v>
      </c>
      <c r="I12" s="7" t="s">
        <v>35</v>
      </c>
    </row>
    <row r="13" ht="60.0" customHeight="1">
      <c r="A13" s="7" t="s">
        <v>93</v>
      </c>
      <c r="B13" s="7" t="s">
        <v>20</v>
      </c>
      <c r="C13" s="9" t="s">
        <v>41</v>
      </c>
      <c r="D13" s="7" t="s">
        <v>94</v>
      </c>
      <c r="E13" s="7" t="s">
        <v>95</v>
      </c>
      <c r="F13" s="7" t="s">
        <v>96</v>
      </c>
      <c r="G13" s="7" t="s">
        <v>46</v>
      </c>
      <c r="H13" s="7" t="s">
        <v>98</v>
      </c>
      <c r="I13" s="7" t="s">
        <v>49</v>
      </c>
    </row>
    <row r="14" ht="60.0" customHeight="1">
      <c r="A14" s="7" t="s">
        <v>100</v>
      </c>
      <c r="B14" s="7" t="s">
        <v>20</v>
      </c>
      <c r="C14" s="9" t="s">
        <v>23</v>
      </c>
      <c r="D14" s="7" t="s">
        <v>102</v>
      </c>
      <c r="E14" s="7" t="s">
        <v>103</v>
      </c>
      <c r="F14" s="7" t="s">
        <v>105</v>
      </c>
      <c r="G14" s="7" t="s">
        <v>31</v>
      </c>
      <c r="H14" s="7" t="s">
        <v>33</v>
      </c>
      <c r="I14" s="7" t="s">
        <v>107</v>
      </c>
    </row>
    <row r="15" ht="60.0" customHeight="1">
      <c r="A15" s="7" t="s">
        <v>110</v>
      </c>
      <c r="B15" s="7" t="s">
        <v>20</v>
      </c>
      <c r="C15" s="9" t="s">
        <v>41</v>
      </c>
      <c r="D15" s="7" t="s">
        <v>102</v>
      </c>
      <c r="E15" s="7" t="s">
        <v>114</v>
      </c>
      <c r="F15" s="7" t="s">
        <v>115</v>
      </c>
      <c r="G15" s="7" t="s">
        <v>31</v>
      </c>
      <c r="H15" s="7" t="s">
        <v>117</v>
      </c>
      <c r="I15" s="7" t="s">
        <v>65</v>
      </c>
    </row>
    <row r="16" ht="60.0" customHeight="1">
      <c r="A16" s="7" t="s">
        <v>118</v>
      </c>
      <c r="B16" s="7" t="s">
        <v>20</v>
      </c>
      <c r="C16" s="9" t="s">
        <v>41</v>
      </c>
      <c r="D16" s="7" t="s">
        <v>119</v>
      </c>
      <c r="E16" s="7" t="s">
        <v>120</v>
      </c>
      <c r="F16" s="7" t="s">
        <v>122</v>
      </c>
      <c r="G16" s="7" t="s">
        <v>31</v>
      </c>
      <c r="H16" s="7" t="s">
        <v>47</v>
      </c>
      <c r="I16" s="7" t="s">
        <v>65</v>
      </c>
    </row>
    <row r="17" ht="60.0" customHeight="1">
      <c r="A17" s="7" t="s">
        <v>125</v>
      </c>
      <c r="B17" s="7" t="s">
        <v>20</v>
      </c>
      <c r="C17" s="9" t="s">
        <v>23</v>
      </c>
      <c r="D17" s="7" t="s">
        <v>129</v>
      </c>
      <c r="E17" s="7" t="s">
        <v>130</v>
      </c>
      <c r="F17" s="7" t="s">
        <v>131</v>
      </c>
      <c r="G17" s="7" t="s">
        <v>61</v>
      </c>
      <c r="H17" s="7" t="s">
        <v>133</v>
      </c>
      <c r="I17" s="7" t="s">
        <v>35</v>
      </c>
    </row>
    <row r="18" ht="60.0" customHeight="1">
      <c r="A18" s="7" t="s">
        <v>134</v>
      </c>
      <c r="B18" s="7" t="s">
        <v>20</v>
      </c>
      <c r="C18" s="9" t="s">
        <v>23</v>
      </c>
      <c r="D18" s="7" t="s">
        <v>136</v>
      </c>
      <c r="E18" s="7" t="s">
        <v>138</v>
      </c>
      <c r="F18" s="7" t="s">
        <v>139</v>
      </c>
      <c r="G18" s="7" t="s">
        <v>140</v>
      </c>
      <c r="H18" s="7" t="s">
        <v>141</v>
      </c>
      <c r="I18" s="7" t="s">
        <v>107</v>
      </c>
    </row>
    <row r="19" ht="60.0" customHeight="1">
      <c r="A19" s="7" t="s">
        <v>142</v>
      </c>
      <c r="B19" s="7" t="s">
        <v>20</v>
      </c>
      <c r="C19" s="9" t="s">
        <v>41</v>
      </c>
      <c r="D19" s="7" t="s">
        <v>144</v>
      </c>
      <c r="E19" s="7" t="s">
        <v>145</v>
      </c>
      <c r="F19" s="7" t="s">
        <v>147</v>
      </c>
      <c r="G19" s="7" t="s">
        <v>46</v>
      </c>
      <c r="H19" s="7" t="s">
        <v>47</v>
      </c>
      <c r="I19" s="7" t="s">
        <v>49</v>
      </c>
    </row>
    <row r="20" ht="60.0" customHeight="1">
      <c r="A20" s="7" t="s">
        <v>148</v>
      </c>
      <c r="B20" s="7" t="s">
        <v>20</v>
      </c>
      <c r="C20" s="9" t="s">
        <v>23</v>
      </c>
      <c r="D20" s="7" t="s">
        <v>144</v>
      </c>
      <c r="E20" s="7" t="s">
        <v>149</v>
      </c>
      <c r="F20" s="7" t="s">
        <v>151</v>
      </c>
      <c r="G20" s="7" t="s">
        <v>46</v>
      </c>
      <c r="H20" s="7" t="s">
        <v>152</v>
      </c>
      <c r="I20" s="7" t="s">
        <v>154</v>
      </c>
    </row>
    <row r="21" ht="60.0" customHeight="1">
      <c r="A21" s="7" t="s">
        <v>155</v>
      </c>
      <c r="B21" s="7" t="s">
        <v>20</v>
      </c>
      <c r="C21" s="9" t="s">
        <v>23</v>
      </c>
      <c r="D21" s="7" t="s">
        <v>156</v>
      </c>
      <c r="E21" s="7" t="s">
        <v>157</v>
      </c>
      <c r="F21" s="7" t="s">
        <v>158</v>
      </c>
      <c r="G21" s="7" t="s">
        <v>61</v>
      </c>
      <c r="H21" s="7" t="s">
        <v>160</v>
      </c>
      <c r="I21" s="7" t="s">
        <v>107</v>
      </c>
    </row>
    <row r="22" ht="60.0" customHeight="1">
      <c r="A22" s="7" t="s">
        <v>162</v>
      </c>
      <c r="B22" s="7" t="s">
        <v>20</v>
      </c>
      <c r="C22" s="9" t="s">
        <v>23</v>
      </c>
      <c r="D22" s="7" t="s">
        <v>163</v>
      </c>
      <c r="E22" s="7" t="s">
        <v>164</v>
      </c>
      <c r="F22" s="7" t="s">
        <v>165</v>
      </c>
      <c r="G22" s="7" t="s">
        <v>140</v>
      </c>
      <c r="H22" s="7" t="s">
        <v>152</v>
      </c>
      <c r="I22" s="7" t="s">
        <v>107</v>
      </c>
    </row>
    <row r="23" ht="60.0" customHeight="1">
      <c r="A23" s="7" t="s">
        <v>168</v>
      </c>
      <c r="B23" s="7" t="s">
        <v>20</v>
      </c>
      <c r="C23" s="9" t="s">
        <v>41</v>
      </c>
      <c r="D23" s="7" t="s">
        <v>172</v>
      </c>
      <c r="E23" s="7" t="s">
        <v>174</v>
      </c>
      <c r="F23" s="7" t="s">
        <v>176</v>
      </c>
      <c r="G23" s="7" t="s">
        <v>177</v>
      </c>
      <c r="H23" s="7" t="s">
        <v>33</v>
      </c>
      <c r="I23" s="7" t="s">
        <v>65</v>
      </c>
    </row>
    <row r="24" ht="60.0" customHeight="1">
      <c r="A24" s="7" t="s">
        <v>179</v>
      </c>
      <c r="B24" s="7" t="s">
        <v>20</v>
      </c>
      <c r="C24" s="9" t="s">
        <v>41</v>
      </c>
      <c r="D24" s="7" t="s">
        <v>180</v>
      </c>
      <c r="E24" s="7" t="s">
        <v>181</v>
      </c>
      <c r="F24" s="7" t="s">
        <v>182</v>
      </c>
      <c r="G24" s="7" t="s">
        <v>46</v>
      </c>
      <c r="H24" s="7" t="s">
        <v>47</v>
      </c>
      <c r="I24" s="7" t="s">
        <v>65</v>
      </c>
    </row>
    <row r="25" ht="60.0" customHeight="1">
      <c r="A25" s="7" t="s">
        <v>186</v>
      </c>
      <c r="B25" s="7" t="s">
        <v>20</v>
      </c>
      <c r="C25" s="9" t="s">
        <v>23</v>
      </c>
      <c r="D25" s="7" t="s">
        <v>189</v>
      </c>
      <c r="E25" s="7" t="s">
        <v>190</v>
      </c>
      <c r="F25" s="7" t="s">
        <v>192</v>
      </c>
      <c r="G25" s="7" t="s">
        <v>177</v>
      </c>
      <c r="H25" s="7" t="s">
        <v>47</v>
      </c>
      <c r="I25" s="7" t="s">
        <v>193</v>
      </c>
    </row>
    <row r="26" ht="60.0" customHeight="1">
      <c r="A26" s="7" t="s">
        <v>194</v>
      </c>
      <c r="B26" s="7" t="s">
        <v>195</v>
      </c>
      <c r="C26" s="9" t="s">
        <v>23</v>
      </c>
      <c r="D26" s="7" t="s">
        <v>119</v>
      </c>
      <c r="E26" s="7" t="s">
        <v>196</v>
      </c>
      <c r="F26" s="7" t="s">
        <v>197</v>
      </c>
      <c r="G26" s="7" t="s">
        <v>198</v>
      </c>
      <c r="H26" s="7" t="s">
        <v>199</v>
      </c>
      <c r="I26" s="7" t="s">
        <v>200</v>
      </c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