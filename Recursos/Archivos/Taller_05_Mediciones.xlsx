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o\Desktop\Curso_Equipo10-main\Recursos\Archivos\"/>
    </mc:Choice>
  </mc:AlternateContent>
  <xr:revisionPtr revIDLastSave="0" documentId="13_ncr:1_{9EC5C47C-AD96-4939-B90E-5F7F2D5D90B5}" xr6:coauthVersionLast="47" xr6:coauthVersionMax="47" xr10:uidLastSave="{00000000-0000-0000-0000-000000000000}"/>
  <bookViews>
    <workbookView xWindow="-103" yWindow="-103" windowWidth="22149" windowHeight="13200" xr2:uid="{00000000-000D-0000-FFFF-FFFF00000000}"/>
  </bookViews>
  <sheets>
    <sheet name="Medicione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0" i="1" l="1"/>
  <c r="G40" i="1" s="1"/>
  <c r="H40" i="1" s="1"/>
  <c r="F39" i="1"/>
  <c r="G39" i="1" s="1"/>
  <c r="H39" i="1" s="1"/>
  <c r="F38" i="1"/>
  <c r="G38" i="1" s="1"/>
  <c r="H38" i="1" s="1"/>
  <c r="F37" i="1"/>
  <c r="G37" i="1" s="1"/>
  <c r="H37" i="1" s="1"/>
  <c r="F36" i="1"/>
  <c r="G36" i="1" s="1"/>
  <c r="H36" i="1" s="1"/>
  <c r="G35" i="1"/>
  <c r="H35" i="1" s="1"/>
  <c r="F35" i="1"/>
  <c r="F34" i="1"/>
  <c r="G34" i="1" s="1"/>
  <c r="H34" i="1" s="1"/>
  <c r="F33" i="1"/>
  <c r="G33" i="1" s="1"/>
  <c r="H33" i="1" s="1"/>
  <c r="F32" i="1"/>
  <c r="G32" i="1" s="1"/>
  <c r="H32" i="1" s="1"/>
  <c r="F31" i="1"/>
  <c r="G31" i="1" s="1"/>
  <c r="F30" i="1"/>
  <c r="G30" i="1" s="1"/>
  <c r="H30" i="1" s="1"/>
  <c r="F29" i="1"/>
  <c r="G29" i="1" s="1"/>
  <c r="H29" i="1" s="1"/>
  <c r="F28" i="1"/>
  <c r="G28" i="1" s="1"/>
  <c r="H28" i="1" s="1"/>
  <c r="G27" i="1"/>
  <c r="H27" i="1" s="1"/>
  <c r="F27" i="1"/>
  <c r="F26" i="1"/>
  <c r="G26" i="1" s="1"/>
  <c r="H26" i="1" s="1"/>
  <c r="F25" i="1"/>
  <c r="G25" i="1" s="1"/>
  <c r="H25" i="1" s="1"/>
  <c r="F24" i="1"/>
  <c r="G24" i="1" s="1"/>
  <c r="H24" i="1" s="1"/>
  <c r="F23" i="1"/>
  <c r="G23" i="1" s="1"/>
  <c r="H23" i="1" s="1"/>
  <c r="F22" i="1"/>
  <c r="G22" i="1" s="1"/>
  <c r="F21" i="1"/>
  <c r="G21" i="1" s="1"/>
  <c r="H21" i="1" s="1"/>
  <c r="F20" i="1"/>
  <c r="G20" i="1" s="1"/>
  <c r="H20" i="1" s="1"/>
  <c r="F19" i="1"/>
  <c r="G19" i="1" s="1"/>
  <c r="H19" i="1" s="1"/>
  <c r="F18" i="1"/>
  <c r="G18" i="1" s="1"/>
  <c r="H18" i="1" s="1"/>
  <c r="F17" i="1"/>
  <c r="G17" i="1" s="1"/>
  <c r="H17" i="1" s="1"/>
  <c r="F16" i="1"/>
  <c r="G16" i="1" s="1"/>
  <c r="H16" i="1" s="1"/>
  <c r="F15" i="1"/>
  <c r="G15" i="1" s="1"/>
  <c r="H15" i="1" s="1"/>
  <c r="F14" i="1"/>
  <c r="G14" i="1" s="1"/>
  <c r="H14" i="1" s="1"/>
  <c r="F13" i="1"/>
  <c r="G13" i="1" s="1"/>
  <c r="H13" i="1" s="1"/>
  <c r="F12" i="1"/>
  <c r="G12" i="1" s="1"/>
  <c r="F11" i="1"/>
  <c r="G11" i="1" s="1"/>
  <c r="H11" i="1" s="1"/>
  <c r="D8" i="1"/>
  <c r="C8" i="1"/>
  <c r="B8" i="1"/>
  <c r="D7" i="1"/>
  <c r="C7" i="1"/>
  <c r="B7" i="1"/>
  <c r="D6" i="1"/>
  <c r="C6" i="1"/>
  <c r="B6" i="1"/>
  <c r="H12" i="1" l="1"/>
  <c r="E6" i="1"/>
  <c r="F6" i="1" s="1"/>
  <c r="H31" i="1"/>
  <c r="E8" i="1"/>
  <c r="F8" i="1" s="1"/>
  <c r="H22" i="1"/>
  <c r="E7" i="1"/>
  <c r="F7" i="1" s="1"/>
</calcChain>
</file>

<file path=xl/sharedStrings.xml><?xml version="1.0" encoding="utf-8"?>
<sst xmlns="http://schemas.openxmlformats.org/spreadsheetml/2006/main" count="50" uniqueCount="19">
  <si>
    <t>Taller 05: Mediciones y errores</t>
  </si>
  <si>
    <t>Configuración</t>
  </si>
  <si>
    <t>Lecturas</t>
  </si>
  <si>
    <t>Promedio medido (V)</t>
  </si>
  <si>
    <t>Error absoluto medio (V)</t>
  </si>
  <si>
    <t>Error relativo medio</t>
  </si>
  <si>
    <t>Error porcentual medio</t>
  </si>
  <si>
    <t>5 V / 1 A</t>
  </si>
  <si>
    <t>3.3 V / 1 A</t>
  </si>
  <si>
    <t>12 V / 1 A</t>
  </si>
  <si>
    <t>Registro de mediciones</t>
  </si>
  <si>
    <t>N.°</t>
  </si>
  <si>
    <t>Valor de referencia (V)</t>
  </si>
  <si>
    <t>Corriente configurada (A)</t>
  </si>
  <si>
    <t>Valor medido (V)</t>
  </si>
  <si>
    <t>Error absoluto (V)</t>
  </si>
  <si>
    <t>Error relativo</t>
  </si>
  <si>
    <t>Error porcentual</t>
  </si>
  <si>
    <t>Equipo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</si>
</sst>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00000"/>
    <numFmt numFmtId="166" formatCode="0.0000%"/>
    <numFmt numFmtId="167" formatCode="0.0"/>
  </numFmts>
  <fonts count="11">
    <font>
      <sz val="11"/>
      <name val="Carlito"/>
    </font>
    <font>
      <sz val="10"/>
      <color rgb="FF1F2937"/>
      <name val="Arial"/>
    </font>
    <font>
      <i/>
      <sz val="10"/>
      <color rgb="FF5B6573"/>
      <name val="Arial"/>
    </font>
    <font>
      <b/>
      <sz val="10"/>
      <color rgb="FFFFFFFF"/>
      <name val="Arial"/>
    </font>
    <font>
      <b/>
      <sz val="10"/>
      <color rgb="FF17365D"/>
      <name val="Arial"/>
    </font>
    <font>
      <b/>
      <sz val="10"/>
      <color rgb="FF274E13"/>
      <name val="Arial"/>
    </font>
    <font>
      <i/>
      <sz val="10"/>
      <color rgb="FF4B5563"/>
      <name val="Arial"/>
    </font>
    <font>
      <b/>
      <sz val="11"/>
      <color theme="0"/>
      <name val="Arial"/>
      <family val="2"/>
    </font>
    <font>
      <b/>
      <sz val="16"/>
      <color theme="1" tint="4.9989318521683403E-2"/>
      <name val="Arial"/>
      <family val="2"/>
    </font>
    <font>
      <i/>
      <sz val="10"/>
      <color rgb="FF5B6573"/>
      <name val="Calibri"/>
      <family val="2"/>
      <scheme val="minor"/>
    </font>
    <font>
      <sz val="10"/>
      <color theme="1" tint="4.9989318521683403E-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3F6F9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rgb="FFA9B7C6"/>
      </bottom>
      <diagonal/>
    </border>
    <border>
      <left/>
      <right style="thin">
        <color rgb="FFD8E4EF"/>
      </right>
      <top/>
      <bottom style="medium">
        <color rgb="FF17365D"/>
      </bottom>
      <diagonal/>
    </border>
    <border>
      <left style="thin">
        <color rgb="FFD8E4EF"/>
      </left>
      <right style="thin">
        <color rgb="FFD8E4EF"/>
      </right>
      <top/>
      <bottom style="medium">
        <color rgb="FF17365D"/>
      </bottom>
      <diagonal/>
    </border>
    <border>
      <left style="thin">
        <color rgb="FFD8E4EF"/>
      </left>
      <right/>
      <top/>
      <bottom style="medium">
        <color rgb="FF17365D"/>
      </bottom>
      <diagonal/>
    </border>
    <border>
      <left/>
      <right/>
      <top/>
      <bottom style="thin">
        <color rgb="FFD9E2F3"/>
      </bottom>
      <diagonal/>
    </border>
    <border>
      <left/>
      <right/>
      <top style="thin">
        <color rgb="FFD9E2F3"/>
      </top>
      <bottom style="thin">
        <color rgb="FFD9E2F3"/>
      </bottom>
      <diagonal/>
    </border>
    <border>
      <left/>
      <right/>
      <top style="thin">
        <color rgb="FFD9E2F3"/>
      </top>
      <bottom style="thin">
        <color rgb="FFA9B7C6"/>
      </bottom>
      <diagonal/>
    </border>
    <border>
      <left/>
      <right/>
      <top/>
      <bottom style="thin">
        <color rgb="FF8EA9C1"/>
      </bottom>
      <diagonal/>
    </border>
    <border>
      <left/>
      <right/>
      <top/>
      <bottom style="thin">
        <color rgb="FFE3E8EE"/>
      </bottom>
      <diagonal/>
    </border>
    <border>
      <left/>
      <right/>
      <top style="thin">
        <color rgb="FFE3E8EE"/>
      </top>
      <bottom style="thin">
        <color rgb="FFE3E8EE"/>
      </bottom>
      <diagonal/>
    </border>
    <border>
      <left/>
      <right/>
      <top style="thin">
        <color rgb="FFE3E8EE"/>
      </top>
      <bottom style="thin">
        <color rgb="FFA9B7C6"/>
      </bottom>
      <diagonal/>
    </border>
    <border>
      <left/>
      <right/>
      <top/>
      <bottom style="thin">
        <color rgb="FF93C47D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/>
    <xf numFmtId="0" fontId="4" fillId="2" borderId="5" xfId="0" applyFont="1" applyFill="1" applyBorder="1"/>
    <xf numFmtId="0" fontId="4" fillId="2" borderId="6" xfId="0" applyFont="1" applyFill="1" applyBorder="1"/>
    <xf numFmtId="0" fontId="4" fillId="2" borderId="7" xfId="0" applyFont="1" applyFill="1" applyBorder="1"/>
    <xf numFmtId="3" fontId="1" fillId="2" borderId="5" xfId="0" applyNumberFormat="1" applyFont="1" applyFill="1" applyBorder="1"/>
    <xf numFmtId="3" fontId="1" fillId="2" borderId="6" xfId="0" applyNumberFormat="1" applyFont="1" applyFill="1" applyBorder="1"/>
    <xf numFmtId="3" fontId="1" fillId="2" borderId="7" xfId="0" applyNumberFormat="1" applyFont="1" applyFill="1" applyBorder="1"/>
    <xf numFmtId="164" fontId="1" fillId="2" borderId="5" xfId="0" applyNumberFormat="1" applyFont="1" applyFill="1" applyBorder="1"/>
    <xf numFmtId="164" fontId="1" fillId="2" borderId="6" xfId="0" applyNumberFormat="1" applyFont="1" applyFill="1" applyBorder="1"/>
    <xf numFmtId="164" fontId="1" fillId="2" borderId="7" xfId="0" applyNumberFormat="1" applyFont="1" applyFill="1" applyBorder="1"/>
    <xf numFmtId="165" fontId="1" fillId="2" borderId="5" xfId="0" applyNumberFormat="1" applyFont="1" applyFill="1" applyBorder="1"/>
    <xf numFmtId="165" fontId="1" fillId="2" borderId="6" xfId="0" applyNumberFormat="1" applyFont="1" applyFill="1" applyBorder="1"/>
    <xf numFmtId="165" fontId="1" fillId="2" borderId="7" xfId="0" applyNumberFormat="1" applyFont="1" applyFill="1" applyBorder="1"/>
    <xf numFmtId="166" fontId="1" fillId="2" borderId="5" xfId="0" applyNumberFormat="1" applyFont="1" applyFill="1" applyBorder="1"/>
    <xf numFmtId="166" fontId="1" fillId="2" borderId="6" xfId="0" applyNumberFormat="1" applyFont="1" applyFill="1" applyBorder="1"/>
    <xf numFmtId="166" fontId="1" fillId="2" borderId="7" xfId="0" applyNumberFormat="1" applyFont="1" applyFill="1" applyBorder="1"/>
    <xf numFmtId="0" fontId="2" fillId="0" borderId="1" xfId="0" applyFont="1" applyBorder="1"/>
    <xf numFmtId="0" fontId="6" fillId="0" borderId="0" xfId="0" applyFont="1"/>
    <xf numFmtId="0" fontId="3" fillId="3" borderId="2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7" fillId="4" borderId="8" xfId="0" applyFont="1" applyFill="1" applyBorder="1" applyAlignment="1">
      <alignment vertical="center"/>
    </xf>
    <xf numFmtId="0" fontId="8" fillId="0" borderId="0" xfId="0" applyFont="1"/>
    <xf numFmtId="0" fontId="5" fillId="5" borderId="12" xfId="0" applyFont="1" applyFill="1" applyBorder="1"/>
    <xf numFmtId="0" fontId="9" fillId="0" borderId="1" xfId="0" applyFont="1" applyBorder="1"/>
    <xf numFmtId="0" fontId="10" fillId="6" borderId="9" xfId="0" applyFont="1" applyFill="1" applyBorder="1" applyAlignment="1">
      <alignment horizontal="center" vertical="center"/>
    </xf>
    <xf numFmtId="0" fontId="10" fillId="6" borderId="9" xfId="0" applyFont="1" applyFill="1" applyBorder="1" applyAlignment="1">
      <alignment horizontal="left" vertical="center"/>
    </xf>
    <xf numFmtId="164" fontId="10" fillId="6" borderId="9" xfId="0" applyNumberFormat="1" applyFont="1" applyFill="1" applyBorder="1" applyAlignment="1">
      <alignment horizontal="right" vertical="center"/>
    </xf>
    <xf numFmtId="167" fontId="10" fillId="6" borderId="9" xfId="0" applyNumberFormat="1" applyFont="1" applyFill="1" applyBorder="1" applyAlignment="1">
      <alignment horizontal="right" vertical="center"/>
    </xf>
    <xf numFmtId="165" fontId="10" fillId="6" borderId="9" xfId="0" applyNumberFormat="1" applyFont="1" applyFill="1" applyBorder="1" applyAlignment="1">
      <alignment horizontal="right" vertical="center"/>
    </xf>
    <xf numFmtId="166" fontId="10" fillId="6" borderId="9" xfId="0" applyNumberFormat="1" applyFont="1" applyFill="1" applyBorder="1" applyAlignment="1">
      <alignment horizontal="right" vertical="center"/>
    </xf>
    <xf numFmtId="0" fontId="10" fillId="6" borderId="10" xfId="0" applyFont="1" applyFill="1" applyBorder="1" applyAlignment="1">
      <alignment horizontal="center" vertical="center"/>
    </xf>
    <xf numFmtId="0" fontId="10" fillId="6" borderId="10" xfId="0" applyFont="1" applyFill="1" applyBorder="1" applyAlignment="1">
      <alignment horizontal="left" vertical="center"/>
    </xf>
    <xf numFmtId="164" fontId="10" fillId="6" borderId="10" xfId="0" applyNumberFormat="1" applyFont="1" applyFill="1" applyBorder="1" applyAlignment="1">
      <alignment horizontal="right" vertical="center"/>
    </xf>
    <xf numFmtId="167" fontId="10" fillId="6" borderId="10" xfId="0" applyNumberFormat="1" applyFont="1" applyFill="1" applyBorder="1" applyAlignment="1">
      <alignment horizontal="right" vertical="center"/>
    </xf>
    <xf numFmtId="165" fontId="10" fillId="6" borderId="10" xfId="0" applyNumberFormat="1" applyFont="1" applyFill="1" applyBorder="1" applyAlignment="1">
      <alignment horizontal="right" vertical="center"/>
    </xf>
    <xf numFmtId="166" fontId="10" fillId="6" borderId="10" xfId="0" applyNumberFormat="1" applyFont="1" applyFill="1" applyBorder="1" applyAlignment="1">
      <alignment horizontal="right" vertical="center"/>
    </xf>
    <xf numFmtId="0" fontId="1" fillId="7" borderId="10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left" vertical="center"/>
    </xf>
    <xf numFmtId="164" fontId="1" fillId="7" borderId="10" xfId="0" applyNumberFormat="1" applyFont="1" applyFill="1" applyBorder="1" applyAlignment="1">
      <alignment horizontal="right" vertical="center"/>
    </xf>
    <xf numFmtId="167" fontId="1" fillId="7" borderId="10" xfId="0" applyNumberFormat="1" applyFont="1" applyFill="1" applyBorder="1" applyAlignment="1">
      <alignment horizontal="right" vertical="center"/>
    </xf>
    <xf numFmtId="165" fontId="1" fillId="7" borderId="10" xfId="0" applyNumberFormat="1" applyFont="1" applyFill="1" applyBorder="1" applyAlignment="1">
      <alignment horizontal="right" vertical="center"/>
    </xf>
    <xf numFmtId="166" fontId="1" fillId="7" borderId="10" xfId="0" applyNumberFormat="1" applyFont="1" applyFill="1" applyBorder="1" applyAlignment="1">
      <alignment horizontal="right" vertical="center"/>
    </xf>
    <xf numFmtId="0" fontId="1" fillId="8" borderId="10" xfId="0" applyFont="1" applyFill="1" applyBorder="1" applyAlignment="1">
      <alignment horizontal="center" vertical="center"/>
    </xf>
    <xf numFmtId="0" fontId="1" fillId="8" borderId="10" xfId="0" applyFont="1" applyFill="1" applyBorder="1" applyAlignment="1">
      <alignment horizontal="left" vertical="center"/>
    </xf>
    <xf numFmtId="164" fontId="1" fillId="8" borderId="10" xfId="0" applyNumberFormat="1" applyFont="1" applyFill="1" applyBorder="1" applyAlignment="1">
      <alignment horizontal="right" vertical="center"/>
    </xf>
    <xf numFmtId="167" fontId="1" fillId="8" borderId="10" xfId="0" applyNumberFormat="1" applyFont="1" applyFill="1" applyBorder="1" applyAlignment="1">
      <alignment horizontal="right" vertical="center"/>
    </xf>
    <xf numFmtId="165" fontId="1" fillId="8" borderId="10" xfId="0" applyNumberFormat="1" applyFont="1" applyFill="1" applyBorder="1" applyAlignment="1">
      <alignment horizontal="right" vertical="center"/>
    </xf>
    <xf numFmtId="166" fontId="1" fillId="8" borderId="10" xfId="0" applyNumberFormat="1" applyFont="1" applyFill="1" applyBorder="1" applyAlignment="1">
      <alignment horizontal="right" vertical="center"/>
    </xf>
    <xf numFmtId="0" fontId="1" fillId="8" borderId="11" xfId="0" applyFont="1" applyFill="1" applyBorder="1" applyAlignment="1">
      <alignment horizontal="center" vertical="center"/>
    </xf>
    <xf numFmtId="0" fontId="1" fillId="8" borderId="11" xfId="0" applyFont="1" applyFill="1" applyBorder="1" applyAlignment="1">
      <alignment horizontal="left" vertical="center"/>
    </xf>
    <xf numFmtId="164" fontId="1" fillId="8" borderId="11" xfId="0" applyNumberFormat="1" applyFont="1" applyFill="1" applyBorder="1" applyAlignment="1">
      <alignment horizontal="right" vertical="center"/>
    </xf>
    <xf numFmtId="167" fontId="1" fillId="8" borderId="11" xfId="0" applyNumberFormat="1" applyFont="1" applyFill="1" applyBorder="1" applyAlignment="1">
      <alignment horizontal="right" vertical="center"/>
    </xf>
    <xf numFmtId="165" fontId="1" fillId="8" borderId="11" xfId="0" applyNumberFormat="1" applyFont="1" applyFill="1" applyBorder="1" applyAlignment="1">
      <alignment horizontal="right" vertical="center"/>
    </xf>
    <xf numFmtId="166" fontId="1" fillId="8" borderId="1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5"/>
  <sheetViews>
    <sheetView showGridLines="0" tabSelected="1" workbookViewId="0">
      <pane ySplit="10" topLeftCell="A28" activePane="bottomLeft" state="frozen"/>
      <selection pane="bottomLeft" activeCell="D42" sqref="D42"/>
    </sheetView>
  </sheetViews>
  <sheetFormatPr baseColWidth="10" defaultColWidth="9.140625" defaultRowHeight="14.15"/>
  <cols>
    <col min="1" max="1" width="8" customWidth="1"/>
    <col min="2" max="2" width="19" customWidth="1"/>
    <col min="3" max="3" width="21" customWidth="1"/>
    <col min="4" max="4" width="23" customWidth="1"/>
    <col min="5" max="5" width="18" customWidth="1"/>
    <col min="6" max="6" width="20" customWidth="1"/>
    <col min="7" max="7" width="16" customWidth="1"/>
    <col min="8" max="8" width="18" customWidth="1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 ht="28" customHeight="1">
      <c r="A2" s="23" t="s">
        <v>0</v>
      </c>
      <c r="B2" s="23"/>
      <c r="C2" s="23"/>
      <c r="D2" s="23"/>
      <c r="E2" s="23"/>
      <c r="F2" s="23"/>
      <c r="G2" s="23"/>
      <c r="H2" s="23"/>
    </row>
    <row r="3" spans="1:8" ht="20.05" customHeight="1">
      <c r="A3" s="25" t="s">
        <v>18</v>
      </c>
      <c r="B3" s="17"/>
      <c r="C3" s="17"/>
      <c r="D3" s="17"/>
      <c r="E3" s="17"/>
      <c r="F3" s="17"/>
      <c r="G3" s="17"/>
      <c r="H3" s="17"/>
    </row>
    <row r="4" spans="1:8">
      <c r="A4" s="1"/>
      <c r="B4" s="1"/>
      <c r="C4" s="1"/>
      <c r="D4" s="1"/>
      <c r="E4" s="1"/>
      <c r="F4" s="1"/>
      <c r="G4" s="1"/>
      <c r="H4" s="1"/>
    </row>
    <row r="5" spans="1:8" ht="34" customHeight="1">
      <c r="A5" s="19" t="s">
        <v>1</v>
      </c>
      <c r="B5" s="20" t="s">
        <v>2</v>
      </c>
      <c r="C5" s="20" t="s">
        <v>3</v>
      </c>
      <c r="D5" s="20" t="s">
        <v>4</v>
      </c>
      <c r="E5" s="20" t="s">
        <v>5</v>
      </c>
      <c r="F5" s="21" t="s">
        <v>6</v>
      </c>
      <c r="G5" s="1"/>
      <c r="H5" s="1"/>
    </row>
    <row r="6" spans="1:8">
      <c r="A6" s="2" t="s">
        <v>7</v>
      </c>
      <c r="B6" s="5">
        <f>COUNTIFS($B$11:$B$40,$A6)</f>
        <v>10</v>
      </c>
      <c r="C6" s="8">
        <f>AVERAGEIFS($E$11:$E$40,$B$11:$B$40,$A6)</f>
        <v>4.9979999999999993</v>
      </c>
      <c r="D6" s="8">
        <f>AVERAGEIFS($F$11:$F$40,$B$11:$B$40,$A6)</f>
        <v>1.9999999999997797E-3</v>
      </c>
      <c r="E6" s="11">
        <f>AVERAGEIFS($G$11:$G$40,$B$11:$B$40,$A6)</f>
        <v>3.9999999999995595E-4</v>
      </c>
      <c r="F6" s="14">
        <f>E6</f>
        <v>3.9999999999995595E-4</v>
      </c>
      <c r="G6" s="1"/>
      <c r="H6" s="1"/>
    </row>
    <row r="7" spans="1:8">
      <c r="A7" s="3" t="s">
        <v>8</v>
      </c>
      <c r="B7" s="6">
        <f>COUNTIFS($B$11:$B$40,$A7)</f>
        <v>10</v>
      </c>
      <c r="C7" s="9">
        <f>AVERAGEIFS($E$11:$E$40,$B$11:$B$40,$A7)</f>
        <v>3.3050000000000006</v>
      </c>
      <c r="D7" s="9">
        <f>AVERAGEIFS($F$11:$F$40,$B$11:$B$40,$A7)</f>
        <v>5.0000000000003375E-3</v>
      </c>
      <c r="E7" s="12">
        <f>AVERAGEIFS($G$11:$G$40,$B$11:$B$40,$A7)</f>
        <v>1.5151515151516173E-3</v>
      </c>
      <c r="F7" s="15">
        <f>E7</f>
        <v>1.5151515151516173E-3</v>
      </c>
      <c r="G7" s="1"/>
      <c r="H7" s="1"/>
    </row>
    <row r="8" spans="1:8">
      <c r="A8" s="4" t="s">
        <v>9</v>
      </c>
      <c r="B8" s="7">
        <f>COUNTIFS($B$11:$B$40,$A8)</f>
        <v>10</v>
      </c>
      <c r="C8" s="10">
        <f>AVERAGEIFS($E$11:$E$40,$B$11:$B$40,$A8)</f>
        <v>11.97</v>
      </c>
      <c r="D8" s="10">
        <f>AVERAGEIFS($F$11:$F$40,$B$11:$B$40,$A8)</f>
        <v>2.9999999999999361E-2</v>
      </c>
      <c r="E8" s="13">
        <f>AVERAGEIFS($G$11:$G$40,$B$11:$B$40,$A8)</f>
        <v>2.4999999999999467E-3</v>
      </c>
      <c r="F8" s="16">
        <f>E8</f>
        <v>2.4999999999999467E-3</v>
      </c>
      <c r="G8" s="1"/>
      <c r="H8" s="1"/>
    </row>
    <row r="9" spans="1:8" ht="24" customHeight="1">
      <c r="A9" s="22" t="s">
        <v>10</v>
      </c>
      <c r="B9" s="22"/>
      <c r="C9" s="22"/>
      <c r="D9" s="22"/>
      <c r="E9" s="22"/>
      <c r="F9" s="22"/>
      <c r="G9" s="22"/>
      <c r="H9" s="22"/>
    </row>
    <row r="10" spans="1:8" ht="33.450000000000003" customHeight="1">
      <c r="A10" s="19" t="s">
        <v>11</v>
      </c>
      <c r="B10" s="20" t="s">
        <v>1</v>
      </c>
      <c r="C10" s="20" t="s">
        <v>12</v>
      </c>
      <c r="D10" s="20" t="s">
        <v>13</v>
      </c>
      <c r="E10" s="20" t="s">
        <v>14</v>
      </c>
      <c r="F10" s="20" t="s">
        <v>15</v>
      </c>
      <c r="G10" s="20" t="s">
        <v>16</v>
      </c>
      <c r="H10" s="21" t="s">
        <v>17</v>
      </c>
    </row>
    <row r="11" spans="1:8">
      <c r="A11" s="26">
        <v>1</v>
      </c>
      <c r="B11" s="27" t="s">
        <v>7</v>
      </c>
      <c r="C11" s="28">
        <v>5</v>
      </c>
      <c r="D11" s="29">
        <v>1</v>
      </c>
      <c r="E11" s="28">
        <v>4.9980000000000002</v>
      </c>
      <c r="F11" s="28">
        <f t="shared" ref="F11:F40" si="0">ABS(E11-C11)</f>
        <v>1.9999999999997797E-3</v>
      </c>
      <c r="G11" s="30">
        <f t="shared" ref="G11:G40" si="1">IF(C11=0,"n.a.",F11/C11)</f>
        <v>3.9999999999995595E-4</v>
      </c>
      <c r="H11" s="31">
        <f t="shared" ref="H11:H40" si="2">IF(C11=0,"n.a.",G11)</f>
        <v>3.9999999999995595E-4</v>
      </c>
    </row>
    <row r="12" spans="1:8">
      <c r="A12" s="32">
        <v>2</v>
      </c>
      <c r="B12" s="33" t="s">
        <v>7</v>
      </c>
      <c r="C12" s="34">
        <v>5</v>
      </c>
      <c r="D12" s="35">
        <v>1</v>
      </c>
      <c r="E12" s="34">
        <v>4.9980000000000002</v>
      </c>
      <c r="F12" s="34">
        <f t="shared" si="0"/>
        <v>1.9999999999997797E-3</v>
      </c>
      <c r="G12" s="36">
        <f t="shared" si="1"/>
        <v>3.9999999999995595E-4</v>
      </c>
      <c r="H12" s="37">
        <f t="shared" si="2"/>
        <v>3.9999999999995595E-4</v>
      </c>
    </row>
    <row r="13" spans="1:8">
      <c r="A13" s="32">
        <v>3</v>
      </c>
      <c r="B13" s="33" t="s">
        <v>7</v>
      </c>
      <c r="C13" s="34">
        <v>5</v>
      </c>
      <c r="D13" s="35">
        <v>1</v>
      </c>
      <c r="E13" s="34">
        <v>4.9980000000000002</v>
      </c>
      <c r="F13" s="34">
        <f t="shared" si="0"/>
        <v>1.9999999999997797E-3</v>
      </c>
      <c r="G13" s="36">
        <f t="shared" si="1"/>
        <v>3.9999999999995595E-4</v>
      </c>
      <c r="H13" s="37">
        <f t="shared" si="2"/>
        <v>3.9999999999995595E-4</v>
      </c>
    </row>
    <row r="14" spans="1:8">
      <c r="A14" s="32">
        <v>4</v>
      </c>
      <c r="B14" s="33" t="s">
        <v>7</v>
      </c>
      <c r="C14" s="34">
        <v>5</v>
      </c>
      <c r="D14" s="35">
        <v>1</v>
      </c>
      <c r="E14" s="34">
        <v>4.9980000000000002</v>
      </c>
      <c r="F14" s="34">
        <f t="shared" si="0"/>
        <v>1.9999999999997797E-3</v>
      </c>
      <c r="G14" s="36">
        <f t="shared" si="1"/>
        <v>3.9999999999995595E-4</v>
      </c>
      <c r="H14" s="37">
        <f t="shared" si="2"/>
        <v>3.9999999999995595E-4</v>
      </c>
    </row>
    <row r="15" spans="1:8">
      <c r="A15" s="32">
        <v>5</v>
      </c>
      <c r="B15" s="33" t="s">
        <v>7</v>
      </c>
      <c r="C15" s="34">
        <v>5</v>
      </c>
      <c r="D15" s="35">
        <v>1</v>
      </c>
      <c r="E15" s="34">
        <v>4.9980000000000002</v>
      </c>
      <c r="F15" s="34">
        <f t="shared" si="0"/>
        <v>1.9999999999997797E-3</v>
      </c>
      <c r="G15" s="36">
        <f t="shared" si="1"/>
        <v>3.9999999999995595E-4</v>
      </c>
      <c r="H15" s="37">
        <f t="shared" si="2"/>
        <v>3.9999999999995595E-4</v>
      </c>
    </row>
    <row r="16" spans="1:8">
      <c r="A16" s="32">
        <v>6</v>
      </c>
      <c r="B16" s="33" t="s">
        <v>7</v>
      </c>
      <c r="C16" s="34">
        <v>5</v>
      </c>
      <c r="D16" s="35">
        <v>1</v>
      </c>
      <c r="E16" s="34">
        <v>4.9980000000000002</v>
      </c>
      <c r="F16" s="34">
        <f t="shared" si="0"/>
        <v>1.9999999999997797E-3</v>
      </c>
      <c r="G16" s="36">
        <f t="shared" si="1"/>
        <v>3.9999999999995595E-4</v>
      </c>
      <c r="H16" s="37">
        <f t="shared" si="2"/>
        <v>3.9999999999995595E-4</v>
      </c>
    </row>
    <row r="17" spans="1:8">
      <c r="A17" s="32">
        <v>7</v>
      </c>
      <c r="B17" s="33" t="s">
        <v>7</v>
      </c>
      <c r="C17" s="34">
        <v>5</v>
      </c>
      <c r="D17" s="35">
        <v>1</v>
      </c>
      <c r="E17" s="34">
        <v>4.9980000000000002</v>
      </c>
      <c r="F17" s="34">
        <f t="shared" si="0"/>
        <v>1.9999999999997797E-3</v>
      </c>
      <c r="G17" s="36">
        <f t="shared" si="1"/>
        <v>3.9999999999995595E-4</v>
      </c>
      <c r="H17" s="37">
        <f t="shared" si="2"/>
        <v>3.9999999999995595E-4</v>
      </c>
    </row>
    <row r="18" spans="1:8">
      <c r="A18" s="32">
        <v>8</v>
      </c>
      <c r="B18" s="33" t="s">
        <v>7</v>
      </c>
      <c r="C18" s="34">
        <v>5</v>
      </c>
      <c r="D18" s="35">
        <v>1</v>
      </c>
      <c r="E18" s="34">
        <v>4.9980000000000002</v>
      </c>
      <c r="F18" s="34">
        <f t="shared" si="0"/>
        <v>1.9999999999997797E-3</v>
      </c>
      <c r="G18" s="36">
        <f t="shared" si="1"/>
        <v>3.9999999999995595E-4</v>
      </c>
      <c r="H18" s="37">
        <f t="shared" si="2"/>
        <v>3.9999999999995595E-4</v>
      </c>
    </row>
    <row r="19" spans="1:8">
      <c r="A19" s="32">
        <v>9</v>
      </c>
      <c r="B19" s="33" t="s">
        <v>7</v>
      </c>
      <c r="C19" s="34">
        <v>5</v>
      </c>
      <c r="D19" s="35">
        <v>1</v>
      </c>
      <c r="E19" s="34">
        <v>4.9980000000000002</v>
      </c>
      <c r="F19" s="34">
        <f t="shared" si="0"/>
        <v>1.9999999999997797E-3</v>
      </c>
      <c r="G19" s="36">
        <f t="shared" si="1"/>
        <v>3.9999999999995595E-4</v>
      </c>
      <c r="H19" s="37">
        <f t="shared" si="2"/>
        <v>3.9999999999995595E-4</v>
      </c>
    </row>
    <row r="20" spans="1:8">
      <c r="A20" s="32">
        <v>10</v>
      </c>
      <c r="B20" s="33" t="s">
        <v>7</v>
      </c>
      <c r="C20" s="34">
        <v>5</v>
      </c>
      <c r="D20" s="35">
        <v>1</v>
      </c>
      <c r="E20" s="34">
        <v>4.9980000000000002</v>
      </c>
      <c r="F20" s="34">
        <f t="shared" si="0"/>
        <v>1.9999999999997797E-3</v>
      </c>
      <c r="G20" s="36">
        <f t="shared" si="1"/>
        <v>3.9999999999995595E-4</v>
      </c>
      <c r="H20" s="37">
        <f t="shared" si="2"/>
        <v>3.9999999999995595E-4</v>
      </c>
    </row>
    <row r="21" spans="1:8">
      <c r="A21" s="38">
        <v>1</v>
      </c>
      <c r="B21" s="39" t="s">
        <v>8</v>
      </c>
      <c r="C21" s="40">
        <v>3.3</v>
      </c>
      <c r="D21" s="41">
        <v>1</v>
      </c>
      <c r="E21" s="40">
        <v>3.3050000000000002</v>
      </c>
      <c r="F21" s="40">
        <f t="shared" si="0"/>
        <v>5.0000000000003375E-3</v>
      </c>
      <c r="G21" s="42">
        <f t="shared" si="1"/>
        <v>1.5151515151516175E-3</v>
      </c>
      <c r="H21" s="43">
        <f t="shared" si="2"/>
        <v>1.5151515151516175E-3</v>
      </c>
    </row>
    <row r="22" spans="1:8">
      <c r="A22" s="38">
        <v>2</v>
      </c>
      <c r="B22" s="39" t="s">
        <v>8</v>
      </c>
      <c r="C22" s="40">
        <v>3.3</v>
      </c>
      <c r="D22" s="41">
        <v>1</v>
      </c>
      <c r="E22" s="40">
        <v>3.3050000000000002</v>
      </c>
      <c r="F22" s="40">
        <f t="shared" si="0"/>
        <v>5.0000000000003375E-3</v>
      </c>
      <c r="G22" s="42">
        <f t="shared" si="1"/>
        <v>1.5151515151516175E-3</v>
      </c>
      <c r="H22" s="43">
        <f t="shared" si="2"/>
        <v>1.5151515151516175E-3</v>
      </c>
    </row>
    <row r="23" spans="1:8">
      <c r="A23" s="38">
        <v>3</v>
      </c>
      <c r="B23" s="39" t="s">
        <v>8</v>
      </c>
      <c r="C23" s="40">
        <v>3.3</v>
      </c>
      <c r="D23" s="41">
        <v>1</v>
      </c>
      <c r="E23" s="40">
        <v>3.3050000000000002</v>
      </c>
      <c r="F23" s="40">
        <f t="shared" si="0"/>
        <v>5.0000000000003375E-3</v>
      </c>
      <c r="G23" s="42">
        <f t="shared" si="1"/>
        <v>1.5151515151516175E-3</v>
      </c>
      <c r="H23" s="43">
        <f t="shared" si="2"/>
        <v>1.5151515151516175E-3</v>
      </c>
    </row>
    <row r="24" spans="1:8">
      <c r="A24" s="38">
        <v>4</v>
      </c>
      <c r="B24" s="39" t="s">
        <v>8</v>
      </c>
      <c r="C24" s="40">
        <v>3.3</v>
      </c>
      <c r="D24" s="41">
        <v>1</v>
      </c>
      <c r="E24" s="40">
        <v>3.3050000000000002</v>
      </c>
      <c r="F24" s="40">
        <f t="shared" si="0"/>
        <v>5.0000000000003375E-3</v>
      </c>
      <c r="G24" s="42">
        <f t="shared" si="1"/>
        <v>1.5151515151516175E-3</v>
      </c>
      <c r="H24" s="43">
        <f t="shared" si="2"/>
        <v>1.5151515151516175E-3</v>
      </c>
    </row>
    <row r="25" spans="1:8">
      <c r="A25" s="38">
        <v>5</v>
      </c>
      <c r="B25" s="39" t="s">
        <v>8</v>
      </c>
      <c r="C25" s="40">
        <v>3.3</v>
      </c>
      <c r="D25" s="41">
        <v>1</v>
      </c>
      <c r="E25" s="40">
        <v>3.3050000000000002</v>
      </c>
      <c r="F25" s="40">
        <f t="shared" si="0"/>
        <v>5.0000000000003375E-3</v>
      </c>
      <c r="G25" s="42">
        <f t="shared" si="1"/>
        <v>1.5151515151516175E-3</v>
      </c>
      <c r="H25" s="43">
        <f t="shared" si="2"/>
        <v>1.5151515151516175E-3</v>
      </c>
    </row>
    <row r="26" spans="1:8">
      <c r="A26" s="38">
        <v>6</v>
      </c>
      <c r="B26" s="39" t="s">
        <v>8</v>
      </c>
      <c r="C26" s="40">
        <v>3.3</v>
      </c>
      <c r="D26" s="41">
        <v>1</v>
      </c>
      <c r="E26" s="40">
        <v>3.3050000000000002</v>
      </c>
      <c r="F26" s="40">
        <f t="shared" si="0"/>
        <v>5.0000000000003375E-3</v>
      </c>
      <c r="G26" s="42">
        <f t="shared" si="1"/>
        <v>1.5151515151516175E-3</v>
      </c>
      <c r="H26" s="43">
        <f t="shared" si="2"/>
        <v>1.5151515151516175E-3</v>
      </c>
    </row>
    <row r="27" spans="1:8">
      <c r="A27" s="38">
        <v>7</v>
      </c>
      <c r="B27" s="39" t="s">
        <v>8</v>
      </c>
      <c r="C27" s="40">
        <v>3.3</v>
      </c>
      <c r="D27" s="41">
        <v>1</v>
      </c>
      <c r="E27" s="40">
        <v>3.3050000000000002</v>
      </c>
      <c r="F27" s="40">
        <f t="shared" si="0"/>
        <v>5.0000000000003375E-3</v>
      </c>
      <c r="G27" s="42">
        <f t="shared" si="1"/>
        <v>1.5151515151516175E-3</v>
      </c>
      <c r="H27" s="43">
        <f t="shared" si="2"/>
        <v>1.5151515151516175E-3</v>
      </c>
    </row>
    <row r="28" spans="1:8">
      <c r="A28" s="38">
        <v>8</v>
      </c>
      <c r="B28" s="39" t="s">
        <v>8</v>
      </c>
      <c r="C28" s="40">
        <v>3.3</v>
      </c>
      <c r="D28" s="41">
        <v>1</v>
      </c>
      <c r="E28" s="40">
        <v>3.3050000000000002</v>
      </c>
      <c r="F28" s="40">
        <f t="shared" si="0"/>
        <v>5.0000000000003375E-3</v>
      </c>
      <c r="G28" s="42">
        <f t="shared" si="1"/>
        <v>1.5151515151516175E-3</v>
      </c>
      <c r="H28" s="43">
        <f t="shared" si="2"/>
        <v>1.5151515151516175E-3</v>
      </c>
    </row>
    <row r="29" spans="1:8">
      <c r="A29" s="38">
        <v>9</v>
      </c>
      <c r="B29" s="39" t="s">
        <v>8</v>
      </c>
      <c r="C29" s="40">
        <v>3.3</v>
      </c>
      <c r="D29" s="41">
        <v>1</v>
      </c>
      <c r="E29" s="40">
        <v>3.3050000000000002</v>
      </c>
      <c r="F29" s="40">
        <f t="shared" si="0"/>
        <v>5.0000000000003375E-3</v>
      </c>
      <c r="G29" s="42">
        <f t="shared" si="1"/>
        <v>1.5151515151516175E-3</v>
      </c>
      <c r="H29" s="43">
        <f t="shared" si="2"/>
        <v>1.5151515151516175E-3</v>
      </c>
    </row>
    <row r="30" spans="1:8">
      <c r="A30" s="38">
        <v>10</v>
      </c>
      <c r="B30" s="39" t="s">
        <v>8</v>
      </c>
      <c r="C30" s="40">
        <v>3.3</v>
      </c>
      <c r="D30" s="41">
        <v>1</v>
      </c>
      <c r="E30" s="40">
        <v>3.3050000000000002</v>
      </c>
      <c r="F30" s="40">
        <f t="shared" si="0"/>
        <v>5.0000000000003375E-3</v>
      </c>
      <c r="G30" s="42">
        <f t="shared" si="1"/>
        <v>1.5151515151516175E-3</v>
      </c>
      <c r="H30" s="43">
        <f t="shared" si="2"/>
        <v>1.5151515151516175E-3</v>
      </c>
    </row>
    <row r="31" spans="1:8">
      <c r="A31" s="44">
        <v>1</v>
      </c>
      <c r="B31" s="45" t="s">
        <v>9</v>
      </c>
      <c r="C31" s="46">
        <v>12</v>
      </c>
      <c r="D31" s="47">
        <v>1</v>
      </c>
      <c r="E31" s="46">
        <v>11.97</v>
      </c>
      <c r="F31" s="46">
        <f t="shared" si="0"/>
        <v>2.9999999999999361E-2</v>
      </c>
      <c r="G31" s="48">
        <f t="shared" si="1"/>
        <v>2.4999999999999467E-3</v>
      </c>
      <c r="H31" s="49">
        <f t="shared" si="2"/>
        <v>2.4999999999999467E-3</v>
      </c>
    </row>
    <row r="32" spans="1:8">
      <c r="A32" s="44">
        <v>2</v>
      </c>
      <c r="B32" s="45" t="s">
        <v>9</v>
      </c>
      <c r="C32" s="46">
        <v>12</v>
      </c>
      <c r="D32" s="47">
        <v>1</v>
      </c>
      <c r="E32" s="46">
        <v>11.97</v>
      </c>
      <c r="F32" s="46">
        <f t="shared" si="0"/>
        <v>2.9999999999999361E-2</v>
      </c>
      <c r="G32" s="48">
        <f t="shared" si="1"/>
        <v>2.4999999999999467E-3</v>
      </c>
      <c r="H32" s="49">
        <f t="shared" si="2"/>
        <v>2.4999999999999467E-3</v>
      </c>
    </row>
    <row r="33" spans="1:8">
      <c r="A33" s="44">
        <v>3</v>
      </c>
      <c r="B33" s="45" t="s">
        <v>9</v>
      </c>
      <c r="C33" s="46">
        <v>12</v>
      </c>
      <c r="D33" s="47">
        <v>1</v>
      </c>
      <c r="E33" s="46">
        <v>11.97</v>
      </c>
      <c r="F33" s="46">
        <f t="shared" si="0"/>
        <v>2.9999999999999361E-2</v>
      </c>
      <c r="G33" s="48">
        <f t="shared" si="1"/>
        <v>2.4999999999999467E-3</v>
      </c>
      <c r="H33" s="49">
        <f t="shared" si="2"/>
        <v>2.4999999999999467E-3</v>
      </c>
    </row>
    <row r="34" spans="1:8">
      <c r="A34" s="44">
        <v>4</v>
      </c>
      <c r="B34" s="45" t="s">
        <v>9</v>
      </c>
      <c r="C34" s="46">
        <v>12</v>
      </c>
      <c r="D34" s="47">
        <v>1</v>
      </c>
      <c r="E34" s="46">
        <v>11.97</v>
      </c>
      <c r="F34" s="46">
        <f t="shared" si="0"/>
        <v>2.9999999999999361E-2</v>
      </c>
      <c r="G34" s="48">
        <f t="shared" si="1"/>
        <v>2.4999999999999467E-3</v>
      </c>
      <c r="H34" s="49">
        <f t="shared" si="2"/>
        <v>2.4999999999999467E-3</v>
      </c>
    </row>
    <row r="35" spans="1:8">
      <c r="A35" s="44">
        <v>5</v>
      </c>
      <c r="B35" s="45" t="s">
        <v>9</v>
      </c>
      <c r="C35" s="46">
        <v>12</v>
      </c>
      <c r="D35" s="47">
        <v>1</v>
      </c>
      <c r="E35" s="46">
        <v>11.97</v>
      </c>
      <c r="F35" s="46">
        <f t="shared" si="0"/>
        <v>2.9999999999999361E-2</v>
      </c>
      <c r="G35" s="48">
        <f t="shared" si="1"/>
        <v>2.4999999999999467E-3</v>
      </c>
      <c r="H35" s="49">
        <f t="shared" si="2"/>
        <v>2.4999999999999467E-3</v>
      </c>
    </row>
    <row r="36" spans="1:8">
      <c r="A36" s="44">
        <v>6</v>
      </c>
      <c r="B36" s="45" t="s">
        <v>9</v>
      </c>
      <c r="C36" s="46">
        <v>12</v>
      </c>
      <c r="D36" s="47">
        <v>1</v>
      </c>
      <c r="E36" s="46">
        <v>11.97</v>
      </c>
      <c r="F36" s="46">
        <f t="shared" si="0"/>
        <v>2.9999999999999361E-2</v>
      </c>
      <c r="G36" s="48">
        <f t="shared" si="1"/>
        <v>2.4999999999999467E-3</v>
      </c>
      <c r="H36" s="49">
        <f t="shared" si="2"/>
        <v>2.4999999999999467E-3</v>
      </c>
    </row>
    <row r="37" spans="1:8">
      <c r="A37" s="44">
        <v>7</v>
      </c>
      <c r="B37" s="45" t="s">
        <v>9</v>
      </c>
      <c r="C37" s="46">
        <v>12</v>
      </c>
      <c r="D37" s="47">
        <v>1</v>
      </c>
      <c r="E37" s="46">
        <v>11.97</v>
      </c>
      <c r="F37" s="46">
        <f t="shared" si="0"/>
        <v>2.9999999999999361E-2</v>
      </c>
      <c r="G37" s="48">
        <f t="shared" si="1"/>
        <v>2.4999999999999467E-3</v>
      </c>
      <c r="H37" s="49">
        <f t="shared" si="2"/>
        <v>2.4999999999999467E-3</v>
      </c>
    </row>
    <row r="38" spans="1:8">
      <c r="A38" s="44">
        <v>8</v>
      </c>
      <c r="B38" s="45" t="s">
        <v>9</v>
      </c>
      <c r="C38" s="46">
        <v>12</v>
      </c>
      <c r="D38" s="47">
        <v>1</v>
      </c>
      <c r="E38" s="46">
        <v>11.97</v>
      </c>
      <c r="F38" s="46">
        <f t="shared" si="0"/>
        <v>2.9999999999999361E-2</v>
      </c>
      <c r="G38" s="48">
        <f t="shared" si="1"/>
        <v>2.4999999999999467E-3</v>
      </c>
      <c r="H38" s="49">
        <f t="shared" si="2"/>
        <v>2.4999999999999467E-3</v>
      </c>
    </row>
    <row r="39" spans="1:8">
      <c r="A39" s="44">
        <v>9</v>
      </c>
      <c r="B39" s="45" t="s">
        <v>9</v>
      </c>
      <c r="C39" s="46">
        <v>12</v>
      </c>
      <c r="D39" s="47">
        <v>1</v>
      </c>
      <c r="E39" s="46">
        <v>11.97</v>
      </c>
      <c r="F39" s="46">
        <f t="shared" si="0"/>
        <v>2.9999999999999361E-2</v>
      </c>
      <c r="G39" s="48">
        <f t="shared" si="1"/>
        <v>2.4999999999999467E-3</v>
      </c>
      <c r="H39" s="49">
        <f t="shared" si="2"/>
        <v>2.4999999999999467E-3</v>
      </c>
    </row>
    <row r="40" spans="1:8">
      <c r="A40" s="50">
        <v>10</v>
      </c>
      <c r="B40" s="51" t="s">
        <v>9</v>
      </c>
      <c r="C40" s="52">
        <v>12</v>
      </c>
      <c r="D40" s="53">
        <v>1</v>
      </c>
      <c r="E40" s="52">
        <v>11.97</v>
      </c>
      <c r="F40" s="52">
        <f t="shared" si="0"/>
        <v>2.9999999999999361E-2</v>
      </c>
      <c r="G40" s="54">
        <f t="shared" si="1"/>
        <v>2.4999999999999467E-3</v>
      </c>
      <c r="H40" s="55">
        <f t="shared" si="2"/>
        <v>2.4999999999999467E-3</v>
      </c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24"/>
      <c r="B43" s="24"/>
      <c r="C43" s="24"/>
      <c r="D43" s="24"/>
      <c r="E43" s="24"/>
      <c r="F43" s="24"/>
      <c r="G43" s="24"/>
      <c r="H43" s="24"/>
    </row>
    <row r="44" spans="1:8" ht="20.05" customHeight="1">
      <c r="A44" s="18"/>
      <c r="B44" s="18"/>
      <c r="C44" s="18"/>
      <c r="D44" s="18"/>
      <c r="E44" s="18"/>
      <c r="F44" s="18"/>
      <c r="G44" s="18"/>
      <c r="H44" s="18"/>
    </row>
    <row r="45" spans="1:8" ht="20.05" customHeight="1">
      <c r="A45" s="18"/>
      <c r="B45" s="18"/>
      <c r="C45" s="18"/>
      <c r="D45" s="18"/>
      <c r="E45" s="18"/>
      <c r="F45" s="18"/>
      <c r="G45" s="18"/>
      <c r="H45" s="18"/>
    </row>
  </sheetData>
  <mergeCells count="6">
    <mergeCell ref="A45:H45"/>
    <mergeCell ref="A2:H2"/>
    <mergeCell ref="A3:H3"/>
    <mergeCell ref="A9:H9"/>
    <mergeCell ref="A43:H43"/>
    <mergeCell ref="A44:H4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Mediciones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Capcha Pumacahua, Mao Arceni</cp:lastModifiedBy>
  <dcterms:modified xsi:type="dcterms:W3CDTF">2026-09-17T17:03:37Z</dcterms:modified>
</cp:coreProperties>
</file>